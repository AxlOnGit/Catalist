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backupFile="1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SURFACE-I7\Users\Axel\Projekte\Catalist\features\Maschinenangebote\"/>
    </mc:Choice>
  </mc:AlternateContent>
  <bookViews>
    <workbookView xWindow="120" yWindow="90" windowWidth="19440" windowHeight="12075"/>
  </bookViews>
  <sheets>
    <sheet name="Tabelle1" sheetId="1" r:id="rId1"/>
    <sheet name="Tabelle2" sheetId="2" r:id="rId2"/>
  </sheets>
  <calcPr calcId="152511"/>
</workbook>
</file>

<file path=xl/calcChain.xml><?xml version="1.0" encoding="utf-8"?>
<calcChain xmlns="http://schemas.openxmlformats.org/spreadsheetml/2006/main">
  <c r="A10" i="1" l="1"/>
  <c r="A11" i="1" s="1"/>
  <c r="A12" i="1" s="1"/>
  <c r="A13" i="1" s="1"/>
  <c r="J10" i="1"/>
  <c r="I10" i="1"/>
  <c r="K10" i="1" s="1"/>
  <c r="F10" i="1"/>
  <c r="J11" i="1"/>
  <c r="I11" i="1"/>
  <c r="K11" i="1" s="1"/>
  <c r="F11" i="1"/>
  <c r="J12" i="1"/>
  <c r="I12" i="1"/>
  <c r="K12" i="1" s="1"/>
  <c r="F12" i="1"/>
  <c r="K1" i="1"/>
  <c r="K9" i="1"/>
  <c r="A9" i="1"/>
  <c r="G4" i="1"/>
  <c r="H4" i="1"/>
  <c r="E4" i="1"/>
  <c r="D4" i="1"/>
  <c r="C4" i="1"/>
  <c r="F13" i="1"/>
  <c r="I13" i="1"/>
  <c r="K13" i="1" s="1"/>
  <c r="J13" i="1"/>
  <c r="F14" i="1"/>
  <c r="I14" i="1"/>
  <c r="K14" i="1" s="1"/>
  <c r="J14" i="1"/>
  <c r="J9" i="1"/>
  <c r="I9" i="1"/>
  <c r="F9" i="1"/>
  <c r="A14" i="1" l="1"/>
  <c r="F8" i="1"/>
  <c r="J21" i="1"/>
  <c r="J8" i="1"/>
  <c r="J16" i="1" s="1"/>
  <c r="I8" i="1"/>
  <c r="K8" i="1" s="1"/>
  <c r="F27" i="1"/>
  <c r="F16" i="1" l="1"/>
  <c r="K30" i="1" l="1"/>
  <c r="J18" i="1"/>
  <c r="K18" i="1"/>
  <c r="K16" i="1"/>
  <c r="F23" i="1"/>
  <c r="F39" i="1" s="1"/>
  <c r="J23" i="1"/>
  <c r="H39" i="1" l="1"/>
  <c r="K39" i="1" s="1"/>
  <c r="K23" i="1"/>
  <c r="H37" i="1" s="1"/>
  <c r="F37" i="1"/>
  <c r="F35" i="1"/>
  <c r="F25" i="1"/>
  <c r="J37" i="1" l="1"/>
  <c r="E37" i="1" s="1"/>
  <c r="F30" i="1"/>
  <c r="H35" i="1"/>
  <c r="J35" i="1" s="1"/>
  <c r="K35" i="1" s="1"/>
  <c r="E39" i="1"/>
</calcChain>
</file>

<file path=xl/sharedStrings.xml><?xml version="1.0" encoding="utf-8"?>
<sst xmlns="http://schemas.openxmlformats.org/spreadsheetml/2006/main" count="68" uniqueCount="42">
  <si>
    <t>Pos</t>
  </si>
  <si>
    <t>Artikel</t>
  </si>
  <si>
    <t>EK</t>
  </si>
  <si>
    <t>Anzahl</t>
  </si>
  <si>
    <t>EVK</t>
  </si>
  <si>
    <t>GVK</t>
  </si>
  <si>
    <t>GEK</t>
  </si>
  <si>
    <t>Zwischensumme gesamt</t>
  </si>
  <si>
    <t>Endsumme</t>
  </si>
  <si>
    <t>Rohmarge vor Gebrauchtgeräteverwertung</t>
  </si>
  <si>
    <t>Rohmarge ohne Rücknahme</t>
  </si>
  <si>
    <t>VK Altgeräte</t>
  </si>
  <si>
    <t>Rohmarge nach Gebrauchtgeräteverwertung</t>
  </si>
  <si>
    <t>EVK-R</t>
  </si>
  <si>
    <t>VK-Rab %</t>
  </si>
  <si>
    <t>RM %</t>
  </si>
  <si>
    <t>Kalkulation RM %</t>
  </si>
  <si>
    <t xml:space="preserve">Kalkulation RM Euro </t>
  </si>
  <si>
    <t xml:space="preserve">Kalkulation VK </t>
  </si>
  <si>
    <t>Farbe Eingabefelder:</t>
  </si>
  <si>
    <t>Entweder Stückzahl oder Rücknahmepreis negativ eingeben!</t>
  </si>
  <si>
    <t>Schnellkalkulation auf Endsumme (incl. Rücknahmen)</t>
  </si>
  <si>
    <t>Rücknahme</t>
  </si>
  <si>
    <t>Rohmarge €</t>
  </si>
  <si>
    <t>Aktiv</t>
  </si>
  <si>
    <t>0 / 1</t>
  </si>
  <si>
    <t>Kommentar</t>
  </si>
  <si>
    <t>Artikel auswählen</t>
  </si>
  <si>
    <t>Spalte1</t>
  </si>
  <si>
    <t>Geräteart</t>
  </si>
  <si>
    <t>CJV150-75</t>
  </si>
  <si>
    <t>CJV150-107</t>
  </si>
  <si>
    <t>CJV150-130</t>
  </si>
  <si>
    <t>CJV150-160</t>
  </si>
  <si>
    <t>Print&amp;Cut</t>
  </si>
  <si>
    <t>CJV300-130</t>
  </si>
  <si>
    <t>CJV300-160</t>
  </si>
  <si>
    <t>Install</t>
  </si>
  <si>
    <t>Fracht-LFP</t>
  </si>
  <si>
    <t>Kalkulation</t>
  </si>
  <si>
    <t>Inzahlungnahme</t>
  </si>
  <si>
    <t>Wattweißich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</si>
</sst>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CFFFF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164" fontId="0" fillId="2" borderId="0" xfId="0" applyNumberFormat="1" applyFill="1"/>
    <xf numFmtId="2" fontId="0" fillId="2" borderId="0" xfId="0" applyNumberFormat="1" applyFill="1"/>
    <xf numFmtId="164" fontId="2" fillId="2" borderId="0" xfId="0" applyNumberFormat="1" applyFont="1" applyFill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0" fillId="2" borderId="1" xfId="0" applyFill="1" applyBorder="1"/>
    <xf numFmtId="164" fontId="0" fillId="2" borderId="2" xfId="0" applyNumberFormat="1" applyFill="1" applyBorder="1"/>
    <xf numFmtId="0" fontId="0" fillId="4" borderId="3" xfId="0" applyFill="1" applyBorder="1"/>
    <xf numFmtId="164" fontId="0" fillId="2" borderId="3" xfId="0" applyNumberFormat="1" applyFill="1" applyBorder="1"/>
    <xf numFmtId="0" fontId="0" fillId="2" borderId="3" xfId="0" applyFill="1" applyBorder="1"/>
    <xf numFmtId="164" fontId="2" fillId="2" borderId="3" xfId="0" applyNumberFormat="1" applyFont="1" applyFill="1" applyBorder="1"/>
    <xf numFmtId="2" fontId="2" fillId="2" borderId="3" xfId="0" applyNumberFormat="1" applyFont="1" applyFill="1" applyBorder="1"/>
    <xf numFmtId="164" fontId="0" fillId="2" borderId="0" xfId="0" applyNumberFormat="1" applyFill="1" applyBorder="1"/>
    <xf numFmtId="4" fontId="0" fillId="2" borderId="3" xfId="0" applyNumberFormat="1" applyFill="1" applyBorder="1"/>
    <xf numFmtId="2" fontId="0" fillId="2" borderId="3" xfId="0" applyNumberFormat="1" applyFill="1" applyBorder="1"/>
    <xf numFmtId="0" fontId="0" fillId="4" borderId="2" xfId="0" applyFill="1" applyBorder="1" applyProtection="1">
      <protection locked="0"/>
    </xf>
    <xf numFmtId="164" fontId="0" fillId="4" borderId="2" xfId="0" applyNumberFormat="1" applyFill="1" applyBorder="1" applyProtection="1">
      <protection locked="0"/>
    </xf>
    <xf numFmtId="0" fontId="0" fillId="4" borderId="3" xfId="0" applyFill="1" applyBorder="1" applyProtection="1">
      <protection locked="0"/>
    </xf>
    <xf numFmtId="164" fontId="0" fillId="4" borderId="3" xfId="0" applyNumberFormat="1" applyFill="1" applyBorder="1" applyProtection="1">
      <protection locked="0"/>
    </xf>
    <xf numFmtId="2" fontId="0" fillId="4" borderId="4" xfId="0" applyNumberFormat="1" applyFill="1" applyBorder="1" applyProtection="1">
      <protection locked="0"/>
    </xf>
    <xf numFmtId="0" fontId="4" fillId="2" borderId="0" xfId="0" applyFont="1" applyFill="1"/>
    <xf numFmtId="0" fontId="5" fillId="2" borderId="0" xfId="0" applyFont="1" applyFill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164" fontId="0" fillId="2" borderId="10" xfId="0" applyNumberFormat="1" applyFill="1" applyBorder="1"/>
    <xf numFmtId="2" fontId="0" fillId="2" borderId="4" xfId="0" applyNumberFormat="1" applyFill="1" applyBorder="1"/>
    <xf numFmtId="164" fontId="2" fillId="2" borderId="4" xfId="0" applyNumberFormat="1" applyFont="1" applyFill="1" applyBorder="1"/>
    <xf numFmtId="164" fontId="2" fillId="2" borderId="10" xfId="0" applyNumberFormat="1" applyFont="1" applyFill="1" applyBorder="1"/>
    <xf numFmtId="2" fontId="2" fillId="2" borderId="4" xfId="0" applyNumberFormat="1" applyFont="1" applyFill="1" applyBorder="1"/>
    <xf numFmtId="0" fontId="2" fillId="2" borderId="5" xfId="0" applyFont="1" applyFill="1" applyBorder="1"/>
    <xf numFmtId="0" fontId="0" fillId="2" borderId="11" xfId="0" applyFill="1" applyBorder="1"/>
    <xf numFmtId="0" fontId="0" fillId="2" borderId="6" xfId="0" applyFill="1" applyBorder="1"/>
    <xf numFmtId="0" fontId="0" fillId="2" borderId="12" xfId="0" applyFill="1" applyBorder="1"/>
    <xf numFmtId="0" fontId="0" fillId="2" borderId="0" xfId="0" applyFill="1" applyBorder="1"/>
    <xf numFmtId="0" fontId="2" fillId="2" borderId="0" xfId="0" applyFont="1" applyFill="1" applyBorder="1" applyAlignment="1">
      <alignment horizontal="right"/>
    </xf>
    <xf numFmtId="2" fontId="0" fillId="2" borderId="1" xfId="0" applyNumberFormat="1" applyFill="1" applyBorder="1"/>
    <xf numFmtId="0" fontId="0" fillId="2" borderId="7" xfId="0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2" fontId="3" fillId="2" borderId="0" xfId="0" applyNumberFormat="1" applyFont="1" applyFill="1" applyBorder="1"/>
    <xf numFmtId="0" fontId="5" fillId="2" borderId="0" xfId="0" applyFont="1" applyFill="1" applyBorder="1"/>
    <xf numFmtId="0" fontId="2" fillId="2" borderId="1" xfId="0" applyFont="1" applyFill="1" applyBorder="1" applyAlignment="1">
      <alignment horizontal="right"/>
    </xf>
    <xf numFmtId="0" fontId="1" fillId="3" borderId="0" xfId="0" applyFont="1" applyFill="1" applyAlignment="1">
      <alignment horizontal="center"/>
    </xf>
    <xf numFmtId="1" fontId="0" fillId="4" borderId="2" xfId="0" applyNumberFormat="1" applyFill="1" applyBorder="1" applyProtection="1">
      <protection locked="0"/>
    </xf>
    <xf numFmtId="164" fontId="2" fillId="2" borderId="0" xfId="0" applyNumberFormat="1" applyFont="1" applyFill="1" applyBorder="1"/>
    <xf numFmtId="2" fontId="0" fillId="2" borderId="0" xfId="0" applyNumberFormat="1" applyFill="1" applyBorder="1"/>
    <xf numFmtId="0" fontId="0" fillId="2" borderId="3" xfId="0" applyFill="1" applyBorder="1" applyProtection="1">
      <protection locked="0"/>
    </xf>
    <xf numFmtId="0" fontId="0" fillId="2" borderId="0" xfId="0" applyFill="1" applyAlignment="1">
      <alignment horizontal="left"/>
    </xf>
    <xf numFmtId="0" fontId="2" fillId="2" borderId="0" xfId="0" applyFont="1" applyFill="1" applyAlignment="1" applyProtection="1">
      <protection locked="0"/>
    </xf>
    <xf numFmtId="0" fontId="0" fillId="2" borderId="0" xfId="0" applyFill="1" applyAlignment="1"/>
    <xf numFmtId="0" fontId="1" fillId="2" borderId="0" xfId="0" applyFont="1" applyFill="1" applyAlignment="1">
      <alignment horizontal="right"/>
    </xf>
    <xf numFmtId="0" fontId="0" fillId="0" borderId="0" xfId="0" applyBorder="1"/>
    <xf numFmtId="0" fontId="0" fillId="5" borderId="0" xfId="0" applyFont="1" applyFill="1"/>
    <xf numFmtId="0" fontId="0" fillId="5" borderId="0" xfId="0" applyFill="1"/>
    <xf numFmtId="0" fontId="0" fillId="6" borderId="3" xfId="0" applyFill="1" applyBorder="1" applyProtection="1">
      <protection locked="0"/>
    </xf>
    <xf numFmtId="0" fontId="0" fillId="6" borderId="3" xfId="0" applyFill="1" applyBorder="1"/>
    <xf numFmtId="164" fontId="0" fillId="6" borderId="3" xfId="0" applyNumberFormat="1" applyFill="1" applyBorder="1" applyAlignment="1"/>
    <xf numFmtId="164" fontId="0" fillId="6" borderId="3" xfId="0" applyNumberFormat="1" applyFill="1" applyBorder="1"/>
    <xf numFmtId="0" fontId="2" fillId="6" borderId="3" xfId="0" applyFont="1" applyFill="1" applyBorder="1" applyAlignment="1" applyProtection="1"/>
    <xf numFmtId="0" fontId="3" fillId="2" borderId="0" xfId="0" applyFont="1" applyFill="1" applyProtection="1">
      <protection locked="0"/>
    </xf>
    <xf numFmtId="0" fontId="3" fillId="2" borderId="0" xfId="0" applyFont="1" applyFill="1" applyProtection="1"/>
    <xf numFmtId="0" fontId="2" fillId="0" borderId="0" xfId="0" applyFont="1" applyAlignment="1" applyProtection="1">
      <protection locked="0"/>
    </xf>
    <xf numFmtId="0" fontId="0" fillId="0" borderId="0" xfId="0" applyAlignment="1"/>
  </cellXfs>
  <cellStyles count="1">
    <cellStyle name="Standard" xfId="0" builtinId="0"/>
  </cellStyles>
  <dxfs count="12">
    <dxf>
      <font>
        <color theme="5" tint="0.79998168889431442"/>
      </font>
    </dxf>
    <dxf>
      <font>
        <color rgb="FFCCFFFF"/>
      </font>
    </dxf>
    <dxf>
      <font>
        <color rgb="FFCCFFFF"/>
      </font>
    </dxf>
    <dxf>
      <font>
        <color theme="5" tint="0.79998168889431442"/>
      </font>
    </dxf>
    <dxf>
      <font>
        <color rgb="FFCCFFFF"/>
      </font>
    </dxf>
    <dxf>
      <font>
        <color theme="5" tint="0.79998168889431442"/>
      </font>
    </dxf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theme="5" tint="0.79998168889431442"/>
      </font>
    </dxf>
    <dxf>
      <font>
        <color rgb="FFCCFFFF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39997558519241921"/>
        </patternFill>
      </fill>
    </dxf>
  </dxfs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J$1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114300</xdr:colOff>
      <xdr:row>24</xdr:row>
      <xdr:rowOff>0</xdr:rowOff>
    </xdr:from>
    <xdr:to>
      <xdr:col>10</xdr:col>
      <xdr:colOff>695325</xdr:colOff>
      <xdr:row>28</xdr:row>
      <xdr:rowOff>123825</xdr:rowOff>
    </xdr:to>
    <xdr:sp macro="" textlink="" fLocksText="0">
      <xdr:nvSpPr>
        <xdr:cNvPr id="2" name="Textfeld 1"/>
        <xdr:cNvSpPr txBox="1"/>
      </xdr:nvSpPr>
      <xdr:spPr>
        <a:xfrm>
          <a:off x="4505325" y="4591050"/>
          <a:ext cx="3409950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de-DE" sz="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47625</xdr:rowOff>
        </xdr:from>
        <xdr:to>
          <xdr:col>8</xdr:col>
          <xdr:colOff>638175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3</xdr:row>
          <xdr:rowOff>57150</xdr:rowOff>
        </xdr:from>
        <xdr:to>
          <xdr:col>9</xdr:col>
          <xdr:colOff>685800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Übernnahme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0</xdr:row>
          <xdr:rowOff>76200</xdr:rowOff>
        </xdr:from>
        <xdr:to>
          <xdr:col>10</xdr:col>
          <xdr:colOff>0</xdr:colOff>
          <xdr:row>0</xdr:row>
          <xdr:rowOff>295275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Backup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elle1" displayName="Tabelle1" ref="B6:I53" totalsRowShown="0" headerRowDxfId="11">
  <autoFilter ref="B6:I53"/>
  <sortState ref="B7:I29">
    <sortCondition ref="B6:B43"/>
  </sortState>
  <tableColumns count="8">
    <tableColumn id="1" name="Artikel auswählen"/>
    <tableColumn id="2" name="Anzahl"/>
    <tableColumn id="3" name="Aktiv"/>
    <tableColumn id="4" name="EK"/>
    <tableColumn id="5" name="Spalte1"/>
    <tableColumn id="6" name="VK-Rab %"/>
    <tableColumn id="7" name="EVK"/>
    <tableColumn id="8" name="Gerätear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L41"/>
  <sheetViews>
    <sheetView tabSelected="1" topLeftCell="A4" workbookViewId="0">
      <selection activeCell="O5" sqref="O5"/>
    </sheetView>
  </sheetViews>
  <sheetFormatPr baseColWidth="10" defaultRowHeight="15" x14ac:dyDescent="0.25"/>
  <cols>
    <col min="1" max="1" width="5.85546875" customWidth="1"/>
    <col min="2" max="2" width="22.7109375" customWidth="1"/>
    <col min="3" max="4" width="6.7109375" customWidth="1"/>
    <col min="5" max="5" width="11.5703125" customWidth="1"/>
    <col min="7" max="7" width="8.85546875" customWidth="1"/>
    <col min="8" max="8" width="11.140625" customWidth="1"/>
    <col min="9" max="9" width="10.7109375" customWidth="1"/>
    <col min="10" max="10" width="11.7109375" customWidth="1"/>
    <col min="12" max="12" width="1.28515625" customWidth="1"/>
  </cols>
  <sheetData>
    <row r="1" spans="1:12" ht="26.25" customHeight="1" x14ac:dyDescent="0.25">
      <c r="A1" s="64" t="s">
        <v>39</v>
      </c>
      <c r="B1" s="65"/>
      <c r="C1" s="65"/>
      <c r="D1" s="65"/>
      <c r="E1" s="65"/>
      <c r="F1" s="65"/>
      <c r="G1" s="65"/>
      <c r="H1" s="1"/>
      <c r="I1" s="1"/>
      <c r="J1" s="62" t="b">
        <v>1</v>
      </c>
      <c r="K1" s="63">
        <f>IF(J1=TRUE,1,0)</f>
        <v>1</v>
      </c>
      <c r="L1" s="1"/>
    </row>
    <row r="2" spans="1:12" ht="16.5" customHeight="1" x14ac:dyDescent="0.25">
      <c r="A2" s="51"/>
      <c r="B2" s="52"/>
      <c r="C2" s="52"/>
      <c r="D2" s="52"/>
      <c r="E2" s="52"/>
      <c r="F2" s="52"/>
      <c r="G2" s="52"/>
      <c r="H2" s="1"/>
      <c r="I2" s="1"/>
      <c r="J2" s="1"/>
      <c r="K2" s="1"/>
      <c r="L2" s="1"/>
    </row>
    <row r="3" spans="1:12" ht="18.75" customHeight="1" x14ac:dyDescent="0.25">
      <c r="A3" s="5"/>
      <c r="B3" s="5" t="s">
        <v>27</v>
      </c>
      <c r="C3" s="6" t="s">
        <v>3</v>
      </c>
      <c r="D3" s="45"/>
      <c r="E3" s="6" t="s">
        <v>2</v>
      </c>
      <c r="F3" s="6"/>
      <c r="G3" s="6" t="s">
        <v>14</v>
      </c>
      <c r="H3" s="6" t="s">
        <v>4</v>
      </c>
      <c r="I3" s="53"/>
      <c r="J3" s="53"/>
      <c r="K3" s="53"/>
      <c r="L3" s="1"/>
    </row>
    <row r="4" spans="1:12" ht="19.5" customHeight="1" x14ac:dyDescent="0.25">
      <c r="A4" s="61"/>
      <c r="B4" s="57" t="s">
        <v>40</v>
      </c>
      <c r="C4" s="58">
        <f>VLOOKUP($B$4,Tabelle2!$B$7:$I$53,2,FALSE)</f>
        <v>-1</v>
      </c>
      <c r="D4" s="58">
        <f>VLOOKUP($B$4,Tabelle2!$B$7:$I$53,3,FALSE)</f>
        <v>1</v>
      </c>
      <c r="E4" s="59">
        <f>VLOOKUP($B$4,Tabelle2!$B$7:$I$53,4,FALSE)</f>
        <v>500</v>
      </c>
      <c r="F4" s="58"/>
      <c r="G4" s="58">
        <f>VLOOKUP($B$4,Tabelle2!$B$7:$I$53,6,FALSE)</f>
        <v>0</v>
      </c>
      <c r="H4" s="60">
        <f>VLOOKUP($B$4,Tabelle2!$B$7:$I$53,7,FALSE)</f>
        <v>500</v>
      </c>
      <c r="I4" s="1"/>
      <c r="J4" s="1"/>
      <c r="K4" s="1"/>
      <c r="L4" s="1"/>
    </row>
    <row r="5" spans="1:12" ht="16.5" customHeight="1" x14ac:dyDescent="0.25">
      <c r="A5" s="51"/>
      <c r="B5" s="52"/>
      <c r="C5" s="52"/>
      <c r="D5" s="52"/>
      <c r="E5" s="52"/>
      <c r="F5" s="52"/>
      <c r="G5" s="52"/>
      <c r="H5" s="1"/>
      <c r="I5" s="1"/>
      <c r="J5" s="1"/>
      <c r="K5" s="1"/>
      <c r="L5" s="1"/>
    </row>
    <row r="6" spans="1:12" x14ac:dyDescent="0.25">
      <c r="A6" s="1"/>
      <c r="B6" s="11" t="s">
        <v>19</v>
      </c>
      <c r="C6" s="9"/>
      <c r="D6" s="9" t="s">
        <v>25</v>
      </c>
      <c r="E6" s="1"/>
      <c r="F6" s="1"/>
      <c r="G6" s="1"/>
      <c r="H6" s="1"/>
      <c r="I6" s="1"/>
      <c r="J6" s="1"/>
      <c r="K6" s="1"/>
      <c r="L6" s="1"/>
    </row>
    <row r="7" spans="1:12" x14ac:dyDescent="0.25">
      <c r="A7" s="5" t="s">
        <v>0</v>
      </c>
      <c r="B7" s="5" t="s">
        <v>1</v>
      </c>
      <c r="C7" s="6" t="s">
        <v>3</v>
      </c>
      <c r="D7" s="45" t="s">
        <v>24</v>
      </c>
      <c r="E7" s="6" t="s">
        <v>2</v>
      </c>
      <c r="F7" s="6" t="s">
        <v>6</v>
      </c>
      <c r="G7" s="6" t="s">
        <v>14</v>
      </c>
      <c r="H7" s="6" t="s">
        <v>4</v>
      </c>
      <c r="I7" s="6" t="s">
        <v>13</v>
      </c>
      <c r="J7" s="6" t="s">
        <v>5</v>
      </c>
      <c r="K7" s="6" t="s">
        <v>15</v>
      </c>
      <c r="L7" s="1"/>
    </row>
    <row r="8" spans="1:12" hidden="1" x14ac:dyDescent="0.25">
      <c r="A8" s="7">
        <v>0</v>
      </c>
      <c r="B8" s="17"/>
      <c r="C8" s="17"/>
      <c r="D8" s="46"/>
      <c r="E8" s="18"/>
      <c r="F8" s="8">
        <f>E8*C8*D8</f>
        <v>0</v>
      </c>
      <c r="G8" s="17"/>
      <c r="H8" s="18"/>
      <c r="I8" s="8">
        <f>H8*((100-G8)/100)</f>
        <v>0</v>
      </c>
      <c r="J8" s="8">
        <f>D8*H8*C8*((100-G8)/100)</f>
        <v>0</v>
      </c>
      <c r="K8" s="3">
        <f>IF(D8&gt;0,IF(I8&gt;0,(ROUND((100-((E8/I8)*100)),2)),0),0)</f>
        <v>0</v>
      </c>
      <c r="L8" s="1"/>
    </row>
    <row r="9" spans="1:12" hidden="1" x14ac:dyDescent="0.25">
      <c r="A9" s="7">
        <f>IF(D9&gt;0,A8+1,A8)</f>
        <v>0</v>
      </c>
      <c r="B9" s="17"/>
      <c r="C9" s="17"/>
      <c r="D9" s="46">
        <v>0</v>
      </c>
      <c r="E9" s="18"/>
      <c r="F9" s="8">
        <f t="shared" ref="F9" si="0">E9*C9*D9</f>
        <v>0</v>
      </c>
      <c r="G9" s="17"/>
      <c r="H9" s="18"/>
      <c r="I9" s="8">
        <f t="shared" ref="I9" si="1">H9*((100-G9)/100)</f>
        <v>0</v>
      </c>
      <c r="J9" s="8">
        <f t="shared" ref="J9" si="2">D9*H9*C9*((100-G9)/100)</f>
        <v>0</v>
      </c>
      <c r="K9" s="3">
        <f>IF(D9&gt;0,(ROUND((100-((E9/I9)*100)),2)),0)</f>
        <v>0</v>
      </c>
      <c r="L9" s="1"/>
    </row>
    <row r="10" spans="1:12" x14ac:dyDescent="0.25">
      <c r="A10" s="7">
        <f t="shared" ref="A10:A11" si="3">IF(D10&gt;0,A9+1,A9)</f>
        <v>1</v>
      </c>
      <c r="B10" s="17" t="s">
        <v>40</v>
      </c>
      <c r="C10" s="17">
        <v>-1</v>
      </c>
      <c r="D10" s="46">
        <v>1</v>
      </c>
      <c r="E10" s="18">
        <v>500</v>
      </c>
      <c r="F10" s="8">
        <f t="shared" ref="F10" si="4">E10*C10*D10</f>
        <v>-500</v>
      </c>
      <c r="G10" s="17">
        <v>0</v>
      </c>
      <c r="H10" s="18">
        <v>500</v>
      </c>
      <c r="I10" s="8">
        <f t="shared" ref="I10" si="5">H10*((100-G10)/100)</f>
        <v>500</v>
      </c>
      <c r="J10" s="8">
        <f t="shared" ref="J10" si="6">D10*H10*C10*((100-G10)/100)</f>
        <v>-500</v>
      </c>
      <c r="K10" s="3">
        <f>IF(D10&gt;0,(ROUND((100-((E10/I10)*100)),2)),0)</f>
        <v>0</v>
      </c>
      <c r="L10" s="1"/>
    </row>
    <row r="11" spans="1:12" x14ac:dyDescent="0.25">
      <c r="A11" s="7">
        <f t="shared" si="3"/>
        <v>2</v>
      </c>
      <c r="B11" s="17" t="s">
        <v>31</v>
      </c>
      <c r="C11" s="17">
        <v>1</v>
      </c>
      <c r="D11" s="46">
        <v>1</v>
      </c>
      <c r="E11" s="18">
        <v>7500</v>
      </c>
      <c r="F11" s="8">
        <f t="shared" ref="F11" si="7">E11*C11*D11</f>
        <v>7500</v>
      </c>
      <c r="G11" s="17">
        <v>0</v>
      </c>
      <c r="H11" s="18">
        <v>9850</v>
      </c>
      <c r="I11" s="8">
        <f t="shared" ref="I11" si="8">H11*((100-G11)/100)</f>
        <v>9850</v>
      </c>
      <c r="J11" s="8">
        <f t="shared" ref="J11" si="9">D11*H11*C11*((100-G11)/100)</f>
        <v>9850</v>
      </c>
      <c r="K11" s="3">
        <f>IF(D11&gt;0,(ROUND((100-((E11/I11)*100)),2)),0)</f>
        <v>23.86</v>
      </c>
      <c r="L11" s="1"/>
    </row>
    <row r="12" spans="1:12" x14ac:dyDescent="0.25">
      <c r="A12" s="7">
        <f t="shared" ref="A12" si="10">IF(D12&gt;0,A11+1,A11)</f>
        <v>3</v>
      </c>
      <c r="B12" s="17" t="s">
        <v>36</v>
      </c>
      <c r="C12" s="17">
        <v>1</v>
      </c>
      <c r="D12" s="46">
        <v>1</v>
      </c>
      <c r="E12" s="18">
        <v>15800</v>
      </c>
      <c r="F12" s="8">
        <f t="shared" ref="F12" si="11">E12*C12*D12</f>
        <v>15800</v>
      </c>
      <c r="G12" s="17">
        <v>0</v>
      </c>
      <c r="H12" s="18">
        <v>20800</v>
      </c>
      <c r="I12" s="8">
        <f t="shared" ref="I12" si="12">H12*((100-G12)/100)</f>
        <v>20800</v>
      </c>
      <c r="J12" s="8">
        <f t="shared" ref="J12" si="13">D12*H12*C12*((100-G12)/100)</f>
        <v>20800</v>
      </c>
      <c r="K12" s="3">
        <f>IF(D12&gt;0,(ROUND((100-((E12/I12)*100)),2)),0)</f>
        <v>24.04</v>
      </c>
      <c r="L12" s="1"/>
    </row>
    <row r="13" spans="1:12" x14ac:dyDescent="0.25">
      <c r="A13" s="7">
        <f t="shared" ref="A13" si="14">IF(D13&gt;0,A12+1,A12)</f>
        <v>4</v>
      </c>
      <c r="B13" s="17" t="s">
        <v>38</v>
      </c>
      <c r="C13" s="17">
        <v>2</v>
      </c>
      <c r="D13" s="46">
        <v>1</v>
      </c>
      <c r="E13" s="18">
        <v>150</v>
      </c>
      <c r="F13" s="8">
        <f t="shared" ref="F13:F14" si="15">E13*C13*D13</f>
        <v>300</v>
      </c>
      <c r="G13" s="17">
        <v>0</v>
      </c>
      <c r="H13" s="18">
        <v>195</v>
      </c>
      <c r="I13" s="8">
        <f t="shared" ref="I13:I14" si="16">H13*((100-G13)/100)</f>
        <v>195</v>
      </c>
      <c r="J13" s="8">
        <f t="shared" ref="J13:J14" si="17">D13*H13*C13*((100-G13)/100)</f>
        <v>390</v>
      </c>
      <c r="K13" s="3">
        <f>IF(D13&gt;0,(ROUND((100-((E13/I13)*100)),2)),0)</f>
        <v>23.08</v>
      </c>
      <c r="L13" s="1"/>
    </row>
    <row r="14" spans="1:12" x14ac:dyDescent="0.25">
      <c r="A14" s="7">
        <f t="shared" ref="A14" si="18">IF(D14&gt;0,A13+1,A13)</f>
        <v>5</v>
      </c>
      <c r="B14" s="17" t="s">
        <v>37</v>
      </c>
      <c r="C14" s="17">
        <v>2</v>
      </c>
      <c r="D14" s="46">
        <v>1</v>
      </c>
      <c r="E14" s="18">
        <v>380</v>
      </c>
      <c r="F14" s="8">
        <f t="shared" si="15"/>
        <v>760</v>
      </c>
      <c r="G14" s="17"/>
      <c r="H14" s="18">
        <v>495</v>
      </c>
      <c r="I14" s="8">
        <f t="shared" si="16"/>
        <v>495</v>
      </c>
      <c r="J14" s="8">
        <f t="shared" si="17"/>
        <v>990</v>
      </c>
      <c r="K14" s="3">
        <f>IF(D14&gt;0,(ROUND((100-((E14/I14)*100)),2)),0)</f>
        <v>23.23</v>
      </c>
      <c r="L14" s="1"/>
    </row>
    <row r="15" spans="1:12" x14ac:dyDescent="0.25">
      <c r="A15" s="7"/>
      <c r="B15" s="1"/>
      <c r="C15" s="1"/>
      <c r="D15" s="1"/>
      <c r="E15" s="1"/>
      <c r="F15" s="1"/>
      <c r="G15" s="1"/>
      <c r="H15" s="1"/>
      <c r="I15" s="1"/>
      <c r="J15" s="1"/>
      <c r="K15" s="3"/>
      <c r="L15" s="1"/>
    </row>
    <row r="16" spans="1:12" x14ac:dyDescent="0.25">
      <c r="A16" s="1"/>
      <c r="B16" s="25" t="s">
        <v>7</v>
      </c>
      <c r="C16" s="26"/>
      <c r="D16" s="26"/>
      <c r="E16" s="26"/>
      <c r="F16" s="10">
        <f>SUM(F8:F15)</f>
        <v>23860</v>
      </c>
      <c r="G16" s="26"/>
      <c r="H16" s="26"/>
      <c r="I16" s="26"/>
      <c r="J16" s="10">
        <f>SUM(J8:J15)</f>
        <v>31530</v>
      </c>
      <c r="K16" s="28">
        <f>IF(J16&gt;0,(ROUND((100-((F16/J16)*100)),2)),0)</f>
        <v>24.33</v>
      </c>
      <c r="L16" s="1"/>
    </row>
    <row r="17" spans="1:12" x14ac:dyDescent="0.25">
      <c r="A17" s="1"/>
      <c r="B17" s="1"/>
      <c r="C17" s="1"/>
      <c r="D17" s="1"/>
      <c r="E17" s="1"/>
      <c r="F17" s="2"/>
      <c r="G17" s="1"/>
      <c r="H17" s="1"/>
      <c r="I17" s="1"/>
      <c r="J17" s="2"/>
      <c r="K17" s="3"/>
      <c r="L17" s="1"/>
    </row>
    <row r="18" spans="1:12" x14ac:dyDescent="0.25">
      <c r="A18" s="1"/>
      <c r="B18" s="25" t="s">
        <v>10</v>
      </c>
      <c r="C18" s="26"/>
      <c r="D18" s="26"/>
      <c r="E18" s="26"/>
      <c r="F18" s="30"/>
      <c r="G18" s="26"/>
      <c r="H18" s="26"/>
      <c r="I18" s="26"/>
      <c r="J18" s="12">
        <f>J16-F16</f>
        <v>7670</v>
      </c>
      <c r="K18" s="28">
        <f>IF(J16&gt;0,(ROUND((100-((F16/J16)*100)),2)),0)</f>
        <v>24.33</v>
      </c>
      <c r="L18" s="1"/>
    </row>
    <row r="19" spans="1:12" x14ac:dyDescent="0.25">
      <c r="A19" s="1"/>
      <c r="B19" s="36"/>
      <c r="C19" s="36"/>
      <c r="D19" s="36"/>
      <c r="E19" s="36"/>
      <c r="F19" s="47"/>
      <c r="G19" s="36"/>
      <c r="H19" s="36"/>
      <c r="I19" s="36"/>
      <c r="J19" s="47"/>
      <c r="K19" s="48"/>
      <c r="L19" s="1"/>
    </row>
    <row r="20" spans="1:12" x14ac:dyDescent="0.25">
      <c r="A20" s="1"/>
      <c r="B20" s="1"/>
      <c r="C20" s="6" t="s">
        <v>3</v>
      </c>
      <c r="D20" s="45" t="s">
        <v>24</v>
      </c>
      <c r="E20" s="6" t="s">
        <v>2</v>
      </c>
      <c r="F20" s="1"/>
      <c r="G20" s="1"/>
      <c r="H20" s="1"/>
      <c r="I20" s="1"/>
      <c r="J20" s="6" t="s">
        <v>5</v>
      </c>
      <c r="K20" s="3"/>
      <c r="L20" s="1"/>
    </row>
    <row r="21" spans="1:12" x14ac:dyDescent="0.25">
      <c r="A21" s="1"/>
      <c r="B21" s="19" t="s">
        <v>22</v>
      </c>
      <c r="C21" s="19"/>
      <c r="D21" s="19"/>
      <c r="E21" s="20"/>
      <c r="F21" s="27"/>
      <c r="G21" s="26"/>
      <c r="H21" s="26"/>
      <c r="I21" s="26"/>
      <c r="J21" s="12">
        <f>E21*C21*D21</f>
        <v>0</v>
      </c>
      <c r="K21" s="3"/>
      <c r="L21" s="1"/>
    </row>
    <row r="22" spans="1:12" x14ac:dyDescent="0.25">
      <c r="A22" s="1"/>
      <c r="B22" s="43" t="s">
        <v>20</v>
      </c>
      <c r="C22" s="1"/>
      <c r="D22" s="1"/>
      <c r="E22" s="1"/>
      <c r="F22" s="1"/>
      <c r="G22" s="1"/>
      <c r="H22" s="1"/>
      <c r="I22" s="1"/>
      <c r="J22" s="1"/>
      <c r="K22" s="3"/>
      <c r="L22" s="1"/>
    </row>
    <row r="23" spans="1:12" x14ac:dyDescent="0.25">
      <c r="A23" s="1"/>
      <c r="B23" s="25" t="s">
        <v>8</v>
      </c>
      <c r="C23" s="26"/>
      <c r="D23" s="26"/>
      <c r="E23" s="26"/>
      <c r="F23" s="30">
        <f>F16-F21</f>
        <v>23860</v>
      </c>
      <c r="G23" s="26"/>
      <c r="H23" s="26"/>
      <c r="I23" s="26"/>
      <c r="J23" s="12">
        <f>J16+J21</f>
        <v>31530</v>
      </c>
      <c r="K23" s="31">
        <f>IF(J23&gt;0,(ROUND((100-((F23/J23)*100)),2)),0)</f>
        <v>24.33</v>
      </c>
      <c r="L23" s="1"/>
    </row>
    <row r="24" spans="1:12" x14ac:dyDescent="0.25">
      <c r="A24" s="1"/>
      <c r="B24" s="1"/>
      <c r="C24" s="1"/>
      <c r="D24" s="1"/>
      <c r="E24" s="1"/>
      <c r="F24" s="1"/>
      <c r="G24" s="50" t="s">
        <v>26</v>
      </c>
      <c r="H24" s="1"/>
      <c r="I24" s="1"/>
      <c r="J24" s="1"/>
      <c r="K24" s="3"/>
      <c r="L24" s="1"/>
    </row>
    <row r="25" spans="1:12" x14ac:dyDescent="0.25">
      <c r="A25" s="1"/>
      <c r="B25" s="25" t="s">
        <v>9</v>
      </c>
      <c r="C25" s="26"/>
      <c r="D25" s="26"/>
      <c r="E25" s="26"/>
      <c r="F25" s="29">
        <f>J23-F23</f>
        <v>7670</v>
      </c>
      <c r="G25" s="1"/>
      <c r="H25" s="1"/>
      <c r="I25" s="1"/>
      <c r="J25" s="1"/>
      <c r="K25" s="3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3"/>
      <c r="L26" s="1"/>
    </row>
    <row r="27" spans="1:12" x14ac:dyDescent="0.25">
      <c r="A27" s="1"/>
      <c r="B27" s="25" t="s">
        <v>11</v>
      </c>
      <c r="C27" s="19"/>
      <c r="D27" s="49"/>
      <c r="E27" s="20"/>
      <c r="F27" s="12">
        <f>C27*E27</f>
        <v>0</v>
      </c>
      <c r="G27" s="22"/>
      <c r="H27" s="1"/>
      <c r="I27" s="1"/>
      <c r="J27" s="1"/>
      <c r="K27" s="3"/>
      <c r="L27" s="1"/>
    </row>
    <row r="28" spans="1:12" x14ac:dyDescent="0.25">
      <c r="A28" s="1"/>
      <c r="B28" s="36"/>
      <c r="C28" s="36"/>
      <c r="D28" s="36"/>
      <c r="E28" s="36"/>
      <c r="F28" s="36"/>
      <c r="G28" s="1"/>
      <c r="H28" s="1"/>
      <c r="I28" s="1"/>
      <c r="J28" s="1"/>
      <c r="K28" s="3"/>
      <c r="L28" s="1"/>
    </row>
    <row r="29" spans="1:12" x14ac:dyDescent="0.25">
      <c r="A29" s="1"/>
      <c r="B29" s="23"/>
      <c r="C29" s="1"/>
      <c r="D29" s="1"/>
      <c r="E29" s="1"/>
      <c r="F29" s="1"/>
      <c r="G29" s="1"/>
      <c r="H29" s="1"/>
      <c r="I29" s="1"/>
      <c r="J29" s="1"/>
      <c r="K29" s="3"/>
      <c r="L29" s="1"/>
    </row>
    <row r="30" spans="1:12" x14ac:dyDescent="0.25">
      <c r="A30" s="1"/>
      <c r="B30" s="25" t="s">
        <v>12</v>
      </c>
      <c r="C30" s="26"/>
      <c r="D30" s="26"/>
      <c r="E30" s="26"/>
      <c r="F30" s="12">
        <f>F25+F27</f>
        <v>7670</v>
      </c>
      <c r="G30" s="26"/>
      <c r="H30" s="26"/>
      <c r="I30" s="26"/>
      <c r="J30" s="26"/>
      <c r="K30" s="13">
        <f>IF((J16+F27)&gt;0,(ROUND((100-((F16/(J16+F27))*100)),2)),0)</f>
        <v>24.33</v>
      </c>
      <c r="L30" s="1"/>
    </row>
    <row r="31" spans="1:12" x14ac:dyDescent="0.25">
      <c r="A31" s="1"/>
      <c r="B31" s="1"/>
      <c r="C31" s="1"/>
      <c r="D31" s="1"/>
      <c r="E31" s="1"/>
      <c r="F31" s="4"/>
      <c r="G31" s="1"/>
      <c r="H31" s="1"/>
      <c r="I31" s="1"/>
      <c r="J31" s="1"/>
      <c r="K31" s="3"/>
      <c r="L31" s="1"/>
    </row>
    <row r="32" spans="1:12" x14ac:dyDescent="0.25">
      <c r="A32" s="1"/>
      <c r="B32" s="1"/>
      <c r="C32" s="1"/>
      <c r="D32" s="1"/>
      <c r="E32" s="1"/>
      <c r="F32" s="4"/>
      <c r="G32" s="1"/>
      <c r="H32" s="1"/>
      <c r="I32" s="1"/>
      <c r="J32" s="1"/>
      <c r="K32" s="3"/>
      <c r="L32" s="1"/>
    </row>
    <row r="33" spans="1:12" x14ac:dyDescent="0.25">
      <c r="A33" s="1"/>
      <c r="B33" s="32" t="s">
        <v>21</v>
      </c>
      <c r="C33" s="33"/>
      <c r="D33" s="33"/>
      <c r="E33" s="33"/>
      <c r="F33" s="33"/>
      <c r="G33" s="33"/>
      <c r="H33" s="33"/>
      <c r="I33" s="33"/>
      <c r="J33" s="33"/>
      <c r="K33" s="34"/>
      <c r="L33" s="1"/>
    </row>
    <row r="34" spans="1:12" x14ac:dyDescent="0.25">
      <c r="A34" s="1"/>
      <c r="B34" s="35"/>
      <c r="C34" s="36"/>
      <c r="D34" s="36"/>
      <c r="E34" s="37" t="s">
        <v>23</v>
      </c>
      <c r="F34" s="37" t="s">
        <v>6</v>
      </c>
      <c r="G34" s="37"/>
      <c r="H34" s="37"/>
      <c r="I34" s="37"/>
      <c r="J34" s="37" t="s">
        <v>5</v>
      </c>
      <c r="K34" s="44" t="s">
        <v>15</v>
      </c>
      <c r="L34" s="1"/>
    </row>
    <row r="35" spans="1:12" x14ac:dyDescent="0.25">
      <c r="A35" s="1"/>
      <c r="B35" s="35" t="s">
        <v>17</v>
      </c>
      <c r="C35" s="36"/>
      <c r="D35" s="36"/>
      <c r="E35" s="20"/>
      <c r="F35" s="10">
        <f>F23</f>
        <v>23860</v>
      </c>
      <c r="G35" s="36"/>
      <c r="H35" s="41">
        <f>F25</f>
        <v>7670</v>
      </c>
      <c r="I35" s="36"/>
      <c r="J35" s="10">
        <f>IF(E35=0,F35+H35,F35+E35)</f>
        <v>31530</v>
      </c>
      <c r="K35" s="16">
        <f>IF(F35&gt;0,(ROUND((100-((F35/J35)*100)),2)),0)</f>
        <v>24.33</v>
      </c>
      <c r="L35" s="1"/>
    </row>
    <row r="36" spans="1:12" x14ac:dyDescent="0.25">
      <c r="A36" s="1"/>
      <c r="B36" s="35"/>
      <c r="C36" s="36"/>
      <c r="D36" s="36"/>
      <c r="E36" s="36"/>
      <c r="F36" s="36"/>
      <c r="G36" s="36"/>
      <c r="H36" s="36"/>
      <c r="I36" s="36"/>
      <c r="J36" s="36"/>
      <c r="K36" s="7"/>
      <c r="L36" s="1"/>
    </row>
    <row r="37" spans="1:12" x14ac:dyDescent="0.25">
      <c r="A37" s="1"/>
      <c r="B37" s="35" t="s">
        <v>16</v>
      </c>
      <c r="C37" s="36"/>
      <c r="D37" s="36"/>
      <c r="E37" s="10">
        <f>J37-F37</f>
        <v>7671.6505880798213</v>
      </c>
      <c r="F37" s="10">
        <f>F23</f>
        <v>23860</v>
      </c>
      <c r="G37" s="36"/>
      <c r="H37" s="42">
        <f>K23</f>
        <v>24.33</v>
      </c>
      <c r="I37" s="36"/>
      <c r="J37" s="10">
        <f>IF(K37=0,F37/(100-H37)*100,F37/(100-K37)*100)</f>
        <v>31531.650588079821</v>
      </c>
      <c r="K37" s="21"/>
      <c r="L37" s="1"/>
    </row>
    <row r="38" spans="1:12" x14ac:dyDescent="0.25">
      <c r="A38" s="1"/>
      <c r="B38" s="35"/>
      <c r="C38" s="36"/>
      <c r="D38" s="36"/>
      <c r="E38" s="14"/>
      <c r="F38" s="14"/>
      <c r="G38" s="36"/>
      <c r="H38" s="36"/>
      <c r="I38" s="36"/>
      <c r="J38" s="14"/>
      <c r="K38" s="38"/>
      <c r="L38" s="1"/>
    </row>
    <row r="39" spans="1:12" x14ac:dyDescent="0.25">
      <c r="A39" s="1"/>
      <c r="B39" s="39" t="s">
        <v>18</v>
      </c>
      <c r="C39" s="24"/>
      <c r="D39" s="24"/>
      <c r="E39" s="10">
        <f xml:space="preserve"> (IF(J39=0,H39,J39))-F39</f>
        <v>7670</v>
      </c>
      <c r="F39" s="10">
        <f>F23</f>
        <v>23860</v>
      </c>
      <c r="G39" s="24"/>
      <c r="H39" s="40">
        <f>J23</f>
        <v>31530</v>
      </c>
      <c r="I39" s="24"/>
      <c r="J39" s="20"/>
      <c r="K39" s="15">
        <f>IF( ((IF(J39=0,H39,J39))&gt;0),(100-((F39/ (IF(J39=0,H39,J39)))*100)),0)</f>
        <v>24.326038693307964</v>
      </c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</row>
  </sheetData>
  <sheetProtection autoFilter="0"/>
  <mergeCells count="1">
    <mergeCell ref="A1:G1"/>
  </mergeCells>
  <conditionalFormatting sqref="J21 F16 J16:K16 J18:K19 J23:K23 F23 F25 F27 F30 K30 F35 J35:K35 E37:F37 J37 E39:F39 K39 I8:K9 F8:F9 F13:F14 I13:K14">
    <cfRule type="cellIs" dxfId="10" priority="105" operator="equal">
      <formula>0</formula>
    </cfRule>
  </conditionalFormatting>
  <conditionalFormatting sqref="D9 D13:D14">
    <cfRule type="cellIs" dxfId="9" priority="99" operator="equal">
      <formula>0</formula>
    </cfRule>
  </conditionalFormatting>
  <conditionalFormatting sqref="A12:A14">
    <cfRule type="cellIs" dxfId="8" priority="24" operator="equal">
      <formula>A11</formula>
    </cfRule>
  </conditionalFormatting>
  <conditionalFormatting sqref="A9">
    <cfRule type="cellIs" dxfId="7" priority="22" operator="equal">
      <formula>A8</formula>
    </cfRule>
  </conditionalFormatting>
  <conditionalFormatting sqref="I12:K12 F12">
    <cfRule type="cellIs" dxfId="6" priority="18" operator="equal">
      <formula>0</formula>
    </cfRule>
  </conditionalFormatting>
  <conditionalFormatting sqref="D12">
    <cfRule type="cellIs" dxfId="5" priority="17" operator="equal">
      <formula>0</formula>
    </cfRule>
  </conditionalFormatting>
  <conditionalFormatting sqref="I11:K11 F11">
    <cfRule type="cellIs" dxfId="4" priority="11" operator="equal">
      <formula>0</formula>
    </cfRule>
  </conditionalFormatting>
  <conditionalFormatting sqref="D11">
    <cfRule type="cellIs" dxfId="3" priority="10" operator="equal">
      <formula>0</formula>
    </cfRule>
  </conditionalFormatting>
  <conditionalFormatting sqref="A10:A11">
    <cfRule type="cellIs" dxfId="2" priority="1" operator="equal">
      <formula>A9</formula>
    </cfRule>
  </conditionalFormatting>
  <conditionalFormatting sqref="I10:K10 F10">
    <cfRule type="cellIs" dxfId="1" priority="4" operator="equal">
      <formula>0</formula>
    </cfRule>
  </conditionalFormatting>
  <conditionalFormatting sqref="D10">
    <cfRule type="cellIs" dxfId="0" priority="3" operator="equal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as_Name_from_A1">
                <anchor moveWithCells="1" sizeWithCells="1">
                  <from>
                    <xdr:col>7</xdr:col>
                    <xdr:colOff>57150</xdr:colOff>
                    <xdr:row>0</xdr:row>
                    <xdr:rowOff>47625</xdr:rowOff>
                  </from>
                  <to>
                    <xdr:col>8</xdr:col>
                    <xdr:colOff>638175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opyValues2CalcSheet">
                <anchor moveWithCells="1" sizeWithCells="1">
                  <from>
                    <xdr:col>8</xdr:col>
                    <xdr:colOff>114300</xdr:colOff>
                    <xdr:row>3</xdr:row>
                    <xdr:rowOff>57150</xdr:rowOff>
                  </from>
                  <to>
                    <xdr:col>9</xdr:col>
                    <xdr:colOff>685800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9</xdr:col>
                    <xdr:colOff>57150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Tabelle2!$B$7:$B$53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6:I53"/>
  <sheetViews>
    <sheetView workbookViewId="0">
      <selection activeCell="B4" sqref="B4"/>
    </sheetView>
  </sheetViews>
  <sheetFormatPr baseColWidth="10" defaultRowHeight="15" x14ac:dyDescent="0.25"/>
  <cols>
    <col min="1" max="1" width="11.42578125" customWidth="1"/>
    <col min="2" max="2" width="22.28515625" customWidth="1"/>
    <col min="9" max="9" width="17.28515625" customWidth="1"/>
  </cols>
  <sheetData>
    <row r="6" spans="2:9" x14ac:dyDescent="0.25">
      <c r="B6" s="55" t="s">
        <v>27</v>
      </c>
      <c r="C6" s="55" t="s">
        <v>3</v>
      </c>
      <c r="D6" s="55" t="s">
        <v>24</v>
      </c>
      <c r="E6" s="56" t="s">
        <v>2</v>
      </c>
      <c r="F6" s="56" t="s">
        <v>28</v>
      </c>
      <c r="G6" s="56" t="s">
        <v>14</v>
      </c>
      <c r="H6" s="55" t="s">
        <v>4</v>
      </c>
      <c r="I6" s="56" t="s">
        <v>29</v>
      </c>
    </row>
    <row r="7" spans="2:9" x14ac:dyDescent="0.25">
      <c r="B7" t="s">
        <v>31</v>
      </c>
      <c r="C7">
        <v>1</v>
      </c>
      <c r="D7">
        <v>1</v>
      </c>
      <c r="E7">
        <v>7500</v>
      </c>
      <c r="H7">
        <v>9800</v>
      </c>
      <c r="I7" t="s">
        <v>34</v>
      </c>
    </row>
    <row r="8" spans="2:9" x14ac:dyDescent="0.25">
      <c r="B8" t="s">
        <v>32</v>
      </c>
      <c r="C8">
        <v>1</v>
      </c>
      <c r="D8">
        <v>1</v>
      </c>
      <c r="E8">
        <v>10500</v>
      </c>
      <c r="H8">
        <v>13900</v>
      </c>
      <c r="I8" t="s">
        <v>34</v>
      </c>
    </row>
    <row r="9" spans="2:9" x14ac:dyDescent="0.25">
      <c r="B9" t="s">
        <v>33</v>
      </c>
      <c r="C9">
        <v>1</v>
      </c>
      <c r="D9">
        <v>1</v>
      </c>
      <c r="E9">
        <v>12200</v>
      </c>
      <c r="H9">
        <v>14900</v>
      </c>
      <c r="I9" t="s">
        <v>34</v>
      </c>
    </row>
    <row r="10" spans="2:9" x14ac:dyDescent="0.25">
      <c r="B10" t="s">
        <v>30</v>
      </c>
      <c r="C10">
        <v>1</v>
      </c>
      <c r="D10">
        <v>1</v>
      </c>
      <c r="E10">
        <v>6800</v>
      </c>
      <c r="H10">
        <v>8900</v>
      </c>
      <c r="I10" t="s">
        <v>34</v>
      </c>
    </row>
    <row r="11" spans="2:9" x14ac:dyDescent="0.25">
      <c r="B11" t="s">
        <v>35</v>
      </c>
      <c r="C11">
        <v>1</v>
      </c>
      <c r="D11">
        <v>1</v>
      </c>
      <c r="E11">
        <v>14300</v>
      </c>
      <c r="H11">
        <v>18800</v>
      </c>
      <c r="I11" t="s">
        <v>34</v>
      </c>
    </row>
    <row r="12" spans="2:9" x14ac:dyDescent="0.25">
      <c r="B12" t="s">
        <v>36</v>
      </c>
      <c r="C12">
        <v>1</v>
      </c>
      <c r="D12">
        <v>1</v>
      </c>
      <c r="E12">
        <v>15800</v>
      </c>
      <c r="H12">
        <v>20800</v>
      </c>
      <c r="I12" t="s">
        <v>34</v>
      </c>
    </row>
    <row r="13" spans="2:9" x14ac:dyDescent="0.25">
      <c r="B13" t="s">
        <v>40</v>
      </c>
      <c r="C13">
        <v>-1</v>
      </c>
      <c r="D13">
        <v>1</v>
      </c>
      <c r="E13">
        <v>500</v>
      </c>
      <c r="H13">
        <v>500</v>
      </c>
      <c r="I13" t="s">
        <v>41</v>
      </c>
    </row>
    <row r="30" spans="8:8" x14ac:dyDescent="0.25">
      <c r="H30" s="54"/>
    </row>
    <row r="53" spans="2:9" x14ac:dyDescent="0.25">
      <c r="B53" s="54"/>
      <c r="C53" s="54"/>
      <c r="D53" s="54"/>
      <c r="E53" s="54"/>
      <c r="F53" s="54"/>
      <c r="G53" s="54"/>
      <c r="H53" s="54"/>
      <c r="I53" s="54"/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Düwel</dc:creator>
  <cp:lastModifiedBy>Axel Ullrich</cp:lastModifiedBy>
  <dcterms:created xsi:type="dcterms:W3CDTF">2015-03-10T08:37:23Z</dcterms:created>
  <dcterms:modified xsi:type="dcterms:W3CDTF">2015-05-06T15:09:21Z</dcterms:modified>
</cp:coreProperties>
</file>