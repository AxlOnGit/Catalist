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\\SURFACE-I7\Users\Axel\Projekte\Catalist\features\Maschinenangebote\"/>
    </mc:Choice>
  </mc:AlternateContent>
  <bookViews>
    <workbookView xWindow="120" yWindow="90" windowWidth="24915" windowHeight="12075"/>
  </bookViews>
  <sheets>
    <sheet name="Tabelle1" sheetId="1" r:id="rId1"/>
    <sheet name="Tabelle2" sheetId="2" r:id="rId2"/>
    <sheet name="Tabelle3" sheetId="3" r:id="rId3"/>
  </sheets>
  <calcPr calcId="152511"/>
</workbook>
</file>

<file path=xl/calcChain.xml><?xml version="1.0" encoding="utf-8"?>
<calcChain xmlns="http://schemas.openxmlformats.org/spreadsheetml/2006/main">
  <c r="K12" i="1" l="1"/>
  <c r="K11" i="1"/>
  <c r="K10" i="1"/>
  <c r="K9" i="1"/>
  <c r="K8" i="1"/>
  <c r="K7" i="1"/>
  <c r="K6" i="1"/>
  <c r="K5" i="1"/>
  <c r="K4" i="1"/>
  <c r="F5" i="1"/>
  <c r="F6" i="1"/>
  <c r="F7" i="1"/>
  <c r="F8" i="1"/>
  <c r="F9" i="1"/>
  <c r="F10" i="1"/>
  <c r="F11" i="1"/>
  <c r="F12" i="1"/>
  <c r="F4" i="1"/>
  <c r="J19" i="1"/>
  <c r="J5" i="1"/>
  <c r="J6" i="1"/>
  <c r="J7" i="1"/>
  <c r="J8" i="1"/>
  <c r="J9" i="1"/>
  <c r="J10" i="1"/>
  <c r="J11" i="1"/>
  <c r="J12" i="1"/>
  <c r="J4" i="1"/>
  <c r="A5" i="1"/>
  <c r="A6" i="1" s="1"/>
  <c r="A7" i="1" s="1"/>
  <c r="A8" i="1" s="1"/>
  <c r="A9" i="1" s="1"/>
  <c r="A10" i="1" s="1"/>
  <c r="A11" i="1" s="1"/>
  <c r="A12" i="1" s="1"/>
  <c r="I10" i="1"/>
  <c r="I11" i="1"/>
  <c r="I12" i="1"/>
  <c r="I5" i="1"/>
  <c r="I6" i="1"/>
  <c r="I7" i="1"/>
  <c r="I8" i="1"/>
  <c r="I9" i="1"/>
  <c r="I4" i="1"/>
  <c r="F25" i="1"/>
  <c r="J14" i="1" l="1"/>
  <c r="F14" i="1"/>
  <c r="K28" i="1" l="1"/>
  <c r="J16" i="1"/>
  <c r="K16" i="1"/>
  <c r="K14" i="1"/>
  <c r="F21" i="1"/>
  <c r="F37" i="1" s="1"/>
  <c r="J21" i="1"/>
  <c r="H37" i="1" l="1"/>
  <c r="K37" i="1" s="1"/>
  <c r="K21" i="1"/>
  <c r="H35" i="1" s="1"/>
  <c r="F35" i="1"/>
  <c r="F33" i="1"/>
  <c r="F23" i="1"/>
  <c r="J35" i="1" l="1"/>
  <c r="E35" i="1" s="1"/>
  <c r="F28" i="1"/>
  <c r="H33" i="1"/>
  <c r="J33" i="1" s="1"/>
  <c r="K33" i="1" s="1"/>
  <c r="E37" i="1"/>
</calcChain>
</file>

<file path=xl/comments1.xml><?xml version="1.0" encoding="utf-8"?>
<comments xmlns="http://schemas.openxmlformats.org/spreadsheetml/2006/main">
  <authors>
    <author>Axel Ullrich</author>
  </authors>
  <commentList>
    <comment ref="E18" authorId="0" shapeId="0">
      <text>
        <r>
          <rPr>
            <sz val="9"/>
            <color indexed="81"/>
            <rFont val="Segoe UI"/>
            <charset val="1"/>
          </rPr>
          <t xml:space="preserve">Unser Rücknahmepreis
</t>
        </r>
      </text>
    </comment>
  </commentList>
</comments>
</file>

<file path=xl/sharedStrings.xml><?xml version="1.0" encoding="utf-8"?>
<sst xmlns="http://schemas.openxmlformats.org/spreadsheetml/2006/main" count="44" uniqueCount="32">
  <si>
    <t>Pos</t>
  </si>
  <si>
    <t>Artikel</t>
  </si>
  <si>
    <t>EK</t>
  </si>
  <si>
    <t>Anzahl</t>
  </si>
  <si>
    <t>GVK</t>
  </si>
  <si>
    <t>GEK</t>
  </si>
  <si>
    <t>Zwischensumme gesamt</t>
  </si>
  <si>
    <t>Endsumme</t>
  </si>
  <si>
    <t>Rohmarge vor Gebrauchtgeräteverwertung</t>
  </si>
  <si>
    <t>Rohmarge ohne Rücknahme</t>
  </si>
  <si>
    <t>VK Altgeräte</t>
  </si>
  <si>
    <t>Rohmarge nach Gebrauchtgeräteverwertung</t>
  </si>
  <si>
    <t>EVK-R</t>
  </si>
  <si>
    <t>RM %</t>
  </si>
  <si>
    <t>Kalkulation RM %</t>
  </si>
  <si>
    <t xml:space="preserve">Kalkulation RM Euro </t>
  </si>
  <si>
    <t xml:space="preserve">Kalkulation VK </t>
  </si>
  <si>
    <t xml:space="preserve">Kalkulation </t>
  </si>
  <si>
    <t>Farbe Eingabefelder:</t>
  </si>
  <si>
    <t>Entweder Stückzahl oder Rücknahmepreis negativ eingeben!</t>
  </si>
  <si>
    <t>Schnellkalkulation auf Endsumme (incl. Rücknahmen)</t>
  </si>
  <si>
    <t>Rücknahme</t>
  </si>
  <si>
    <t>Rohmarge €</t>
  </si>
  <si>
    <t>Aktiv</t>
  </si>
  <si>
    <t>0 / 1</t>
  </si>
  <si>
    <t>Kommentar</t>
  </si>
  <si>
    <t>Gesamt EK</t>
  </si>
  <si>
    <t>Rabatt %</t>
  </si>
  <si>
    <t>Einzelpreis</t>
  </si>
  <si>
    <t>Rabatt</t>
  </si>
  <si>
    <t>RM%</t>
  </si>
  <si>
    <t>Rohmarge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</si>
</sst>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€&quot;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CCFFFF"/>
      <name val="Calibri"/>
      <family val="2"/>
      <scheme val="minor"/>
    </font>
    <font>
      <b/>
      <sz val="9"/>
      <color rgb="FFC00000"/>
      <name val="Calibri"/>
      <family val="2"/>
      <scheme val="minor"/>
    </font>
    <font>
      <sz val="9"/>
      <color rgb="FFC00000"/>
      <name val="Calibri"/>
      <family val="2"/>
      <scheme val="minor"/>
    </font>
    <font>
      <sz val="9"/>
      <color indexed="81"/>
      <name val="Segoe UI"/>
      <charset val="1"/>
    </font>
  </fonts>
  <fills count="5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0" fillId="2" borderId="0" xfId="0" applyFill="1"/>
    <xf numFmtId="164" fontId="0" fillId="2" borderId="0" xfId="0" applyNumberFormat="1" applyFill="1"/>
    <xf numFmtId="2" fontId="0" fillId="2" borderId="0" xfId="0" applyNumberFormat="1" applyFill="1"/>
    <xf numFmtId="164" fontId="2" fillId="2" borderId="0" xfId="0" applyNumberFormat="1" applyFont="1" applyFill="1"/>
    <xf numFmtId="0" fontId="1" fillId="3" borderId="0" xfId="0" applyFont="1" applyFill="1"/>
    <xf numFmtId="0" fontId="1" fillId="3" borderId="0" xfId="0" applyFont="1" applyFill="1" applyAlignment="1">
      <alignment horizontal="right"/>
    </xf>
    <xf numFmtId="0" fontId="0" fillId="2" borderId="1" xfId="0" applyFill="1" applyBorder="1"/>
    <xf numFmtId="164" fontId="0" fillId="2" borderId="2" xfId="0" applyNumberFormat="1" applyFill="1" applyBorder="1"/>
    <xf numFmtId="0" fontId="0" fillId="4" borderId="3" xfId="0" applyFill="1" applyBorder="1"/>
    <xf numFmtId="164" fontId="0" fillId="2" borderId="3" xfId="0" applyNumberFormat="1" applyFill="1" applyBorder="1"/>
    <xf numFmtId="0" fontId="0" fillId="2" borderId="3" xfId="0" applyFill="1" applyBorder="1"/>
    <xf numFmtId="164" fontId="2" fillId="2" borderId="3" xfId="0" applyNumberFormat="1" applyFont="1" applyFill="1" applyBorder="1"/>
    <xf numFmtId="2" fontId="2" fillId="2" borderId="3" xfId="0" applyNumberFormat="1" applyFont="1" applyFill="1" applyBorder="1"/>
    <xf numFmtId="164" fontId="0" fillId="2" borderId="0" xfId="0" applyNumberFormat="1" applyFill="1" applyBorder="1"/>
    <xf numFmtId="4" fontId="0" fillId="2" borderId="3" xfId="0" applyNumberFormat="1" applyFill="1" applyBorder="1"/>
    <xf numFmtId="2" fontId="0" fillId="2" borderId="3" xfId="0" applyNumberFormat="1" applyFill="1" applyBorder="1"/>
    <xf numFmtId="0" fontId="0" fillId="4" borderId="2" xfId="0" applyFill="1" applyBorder="1" applyProtection="1">
      <protection locked="0"/>
    </xf>
    <xf numFmtId="164" fontId="0" fillId="4" borderId="2" xfId="0" applyNumberFormat="1" applyFill="1" applyBorder="1" applyProtection="1">
      <protection locked="0"/>
    </xf>
    <xf numFmtId="0" fontId="0" fillId="4" borderId="3" xfId="0" applyFill="1" applyBorder="1" applyProtection="1">
      <protection locked="0"/>
    </xf>
    <xf numFmtId="164" fontId="0" fillId="4" borderId="3" xfId="0" applyNumberFormat="1" applyFill="1" applyBorder="1" applyProtection="1">
      <protection locked="0"/>
    </xf>
    <xf numFmtId="2" fontId="0" fillId="4" borderId="4" xfId="0" applyNumberFormat="1" applyFill="1" applyBorder="1" applyProtection="1">
      <protection locked="0"/>
    </xf>
    <xf numFmtId="0" fontId="2" fillId="0" borderId="0" xfId="0" applyFont="1" applyProtection="1">
      <protection locked="0"/>
    </xf>
    <xf numFmtId="0" fontId="4" fillId="2" borderId="0" xfId="0" applyFont="1" applyFill="1"/>
    <xf numFmtId="0" fontId="5" fillId="2" borderId="0" xfId="0" applyFont="1" applyFill="1"/>
    <xf numFmtId="0" fontId="0" fillId="2" borderId="8" xfId="0" applyFill="1" applyBorder="1"/>
    <xf numFmtId="0" fontId="0" fillId="2" borderId="9" xfId="0" applyFill="1" applyBorder="1"/>
    <xf numFmtId="0" fontId="0" fillId="2" borderId="10" xfId="0" applyFill="1" applyBorder="1"/>
    <xf numFmtId="164" fontId="0" fillId="2" borderId="10" xfId="0" applyNumberFormat="1" applyFill="1" applyBorder="1"/>
    <xf numFmtId="2" fontId="0" fillId="2" borderId="4" xfId="0" applyNumberFormat="1" applyFill="1" applyBorder="1"/>
    <xf numFmtId="164" fontId="2" fillId="2" borderId="4" xfId="0" applyNumberFormat="1" applyFont="1" applyFill="1" applyBorder="1"/>
    <xf numFmtId="164" fontId="2" fillId="2" borderId="10" xfId="0" applyNumberFormat="1" applyFont="1" applyFill="1" applyBorder="1"/>
    <xf numFmtId="2" fontId="2" fillId="2" borderId="4" xfId="0" applyNumberFormat="1" applyFont="1" applyFill="1" applyBorder="1"/>
    <xf numFmtId="0" fontId="2" fillId="2" borderId="5" xfId="0" applyFont="1" applyFill="1" applyBorder="1"/>
    <xf numFmtId="0" fontId="0" fillId="2" borderId="11" xfId="0" applyFill="1" applyBorder="1"/>
    <xf numFmtId="0" fontId="0" fillId="2" borderId="6" xfId="0" applyFill="1" applyBorder="1"/>
    <xf numFmtId="0" fontId="0" fillId="2" borderId="12" xfId="0" applyFill="1" applyBorder="1"/>
    <xf numFmtId="0" fontId="0" fillId="2" borderId="0" xfId="0" applyFill="1" applyBorder="1"/>
    <xf numFmtId="0" fontId="2" fillId="2" borderId="0" xfId="0" applyFont="1" applyFill="1" applyBorder="1" applyAlignment="1">
      <alignment horizontal="right"/>
    </xf>
    <xf numFmtId="2" fontId="0" fillId="2" borderId="1" xfId="0" applyNumberFormat="1" applyFill="1" applyBorder="1"/>
    <xf numFmtId="0" fontId="0" fillId="2" borderId="7" xfId="0" applyFill="1" applyBorder="1"/>
    <xf numFmtId="164" fontId="3" fillId="2" borderId="8" xfId="0" applyNumberFormat="1" applyFont="1" applyFill="1" applyBorder="1"/>
    <xf numFmtId="164" fontId="3" fillId="2" borderId="0" xfId="0" applyNumberFormat="1" applyFont="1" applyFill="1" applyBorder="1"/>
    <xf numFmtId="2" fontId="3" fillId="2" borderId="0" xfId="0" applyNumberFormat="1" applyFont="1" applyFill="1" applyBorder="1"/>
    <xf numFmtId="0" fontId="5" fillId="2" borderId="0" xfId="0" applyFont="1" applyFill="1" applyBorder="1"/>
    <xf numFmtId="0" fontId="2" fillId="2" borderId="1" xfId="0" applyFont="1" applyFill="1" applyBorder="1" applyAlignment="1">
      <alignment horizontal="right"/>
    </xf>
    <xf numFmtId="0" fontId="1" fillId="3" borderId="0" xfId="0" applyFont="1" applyFill="1" applyAlignment="1">
      <alignment horizontal="center"/>
    </xf>
    <xf numFmtId="1" fontId="0" fillId="4" borderId="2" xfId="0" applyNumberFormat="1" applyFill="1" applyBorder="1" applyProtection="1">
      <protection locked="0"/>
    </xf>
    <xf numFmtId="164" fontId="2" fillId="2" borderId="0" xfId="0" applyNumberFormat="1" applyFont="1" applyFill="1" applyBorder="1"/>
    <xf numFmtId="2" fontId="0" fillId="2" borderId="0" xfId="0" applyNumberFormat="1" applyFill="1" applyBorder="1"/>
    <xf numFmtId="0" fontId="0" fillId="2" borderId="3" xfId="0" applyFill="1" applyBorder="1" applyProtection="1">
      <protection locked="0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0" fontId="1" fillId="3" borderId="0" xfId="0" applyFont="1" applyFill="1" applyAlignment="1">
      <alignment horizontal="left"/>
    </xf>
  </cellXfs>
  <cellStyles count="1">
    <cellStyle name="Standard" xfId="0" builtinId="0"/>
  </cellStyles>
  <dxfs count="11">
    <dxf>
      <font>
        <color rgb="FFCCFFFF"/>
      </font>
    </dxf>
    <dxf>
      <font>
        <color rgb="FFCCFFFF"/>
      </font>
    </dxf>
    <dxf>
      <font>
        <color rgb="FFCCFFFF"/>
      </font>
    </dxf>
    <dxf>
      <font>
        <color rgb="FFCCFFFF"/>
      </font>
    </dxf>
    <dxf>
      <font>
        <color rgb="FFCCFFFF"/>
      </font>
    </dxf>
    <dxf>
      <font>
        <color rgb="FFCCFFFF"/>
      </font>
    </dxf>
    <dxf>
      <font>
        <color rgb="FFCCFFFF"/>
      </font>
    </dxf>
    <dxf>
      <font>
        <color rgb="FFCCFFFF"/>
      </font>
    </dxf>
    <dxf>
      <font>
        <color theme="5" tint="0.79998168889431442"/>
      </font>
    </dxf>
    <dxf>
      <font>
        <color theme="5" tint="0.79998168889431442"/>
      </font>
    </dxf>
    <dxf>
      <font>
        <color rgb="FFCCFFFF"/>
      </font>
    </dxf>
  </dxfs>
  <tableStyles count="0" defaultTableStyle="TableStyleMedium9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38100</xdr:colOff>
      <xdr:row>22</xdr:row>
      <xdr:rowOff>19050</xdr:rowOff>
    </xdr:from>
    <xdr:to>
      <xdr:col>10</xdr:col>
      <xdr:colOff>742950</xdr:colOff>
      <xdr:row>26</xdr:row>
      <xdr:rowOff>142875</xdr:rowOff>
    </xdr:to>
    <xdr:sp macro="" textlink="" fLocksText="0">
      <xdr:nvSpPr>
        <xdr:cNvPr id="2" name="Textfeld 1"/>
        <xdr:cNvSpPr txBox="1"/>
      </xdr:nvSpPr>
      <xdr:spPr>
        <a:xfrm>
          <a:off x="4572000" y="4210050"/>
          <a:ext cx="3600450" cy="885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t"/>
        <a:lstStyle/>
        <a:p>
          <a:endParaRPr lang="de-DE" sz="8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O38"/>
  <sheetViews>
    <sheetView tabSelected="1" workbookViewId="0">
      <selection activeCell="B4" sqref="B4"/>
    </sheetView>
  </sheetViews>
  <sheetFormatPr baseColWidth="10" defaultRowHeight="15" x14ac:dyDescent="0.25"/>
  <cols>
    <col min="1" max="1" width="5.85546875" customWidth="1"/>
    <col min="2" max="2" width="23.5703125" customWidth="1"/>
    <col min="3" max="4" width="6.7109375" customWidth="1"/>
    <col min="5" max="6" width="12.5703125" customWidth="1"/>
    <col min="7" max="7" width="9.42578125" customWidth="1"/>
    <col min="8" max="9" width="11.5703125" customWidth="1"/>
    <col min="10" max="10" width="10.85546875" customWidth="1"/>
    <col min="12" max="12" width="1.28515625" customWidth="1"/>
    <col min="14" max="14" width="11.42578125" style="52"/>
  </cols>
  <sheetData>
    <row r="1" spans="1:15" x14ac:dyDescent="0.25">
      <c r="A1" s="22" t="s">
        <v>17</v>
      </c>
    </row>
    <row r="2" spans="1:15" x14ac:dyDescent="0.25">
      <c r="A2" s="1"/>
      <c r="B2" s="11" t="s">
        <v>18</v>
      </c>
      <c r="C2" s="9"/>
      <c r="D2" s="9" t="s">
        <v>24</v>
      </c>
      <c r="E2" s="1"/>
      <c r="F2" s="1"/>
      <c r="G2" s="1"/>
      <c r="H2" s="1"/>
      <c r="I2" s="1"/>
      <c r="J2" s="1"/>
      <c r="K2" s="1"/>
      <c r="L2" s="1"/>
    </row>
    <row r="3" spans="1:15" x14ac:dyDescent="0.25">
      <c r="A3" s="5" t="s">
        <v>0</v>
      </c>
      <c r="B3" s="5" t="s">
        <v>1</v>
      </c>
      <c r="C3" s="6" t="s">
        <v>3</v>
      </c>
      <c r="D3" s="46" t="s">
        <v>23</v>
      </c>
      <c r="E3" s="6" t="s">
        <v>2</v>
      </c>
      <c r="F3" s="6" t="s">
        <v>26</v>
      </c>
      <c r="G3" s="6" t="s">
        <v>27</v>
      </c>
      <c r="H3" s="6" t="s">
        <v>28</v>
      </c>
      <c r="I3" s="6" t="s">
        <v>12</v>
      </c>
      <c r="J3" s="6" t="s">
        <v>4</v>
      </c>
      <c r="K3" s="6" t="s">
        <v>13</v>
      </c>
      <c r="L3" s="1"/>
      <c r="N3" s="53" t="s">
        <v>2</v>
      </c>
    </row>
    <row r="4" spans="1:15" x14ac:dyDescent="0.25">
      <c r="A4" s="7">
        <v>1</v>
      </c>
      <c r="B4" s="17"/>
      <c r="C4" s="17"/>
      <c r="D4" s="47"/>
      <c r="E4" s="18"/>
      <c r="F4" s="8">
        <f>E4*C4*D4</f>
        <v>0</v>
      </c>
      <c r="G4" s="17"/>
      <c r="H4" s="18"/>
      <c r="I4" s="8">
        <f>H4*((100-G4)/100)</f>
        <v>0</v>
      </c>
      <c r="J4" s="8">
        <f>D4*H4*C4*((100-G4)/100)</f>
        <v>0</v>
      </c>
      <c r="K4" s="3">
        <f>IF(D4&gt;0,IF(I4&gt;0,(ROUND((100-((E4/I4)*100)),2)),0),0)</f>
        <v>0</v>
      </c>
      <c r="L4" s="1"/>
      <c r="N4" s="52" t="s">
        <v>26</v>
      </c>
    </row>
    <row r="5" spans="1:15" x14ac:dyDescent="0.25">
      <c r="A5" s="7">
        <f>IF(D5&gt;0,A4+1,A4)</f>
        <v>1</v>
      </c>
      <c r="B5" s="17"/>
      <c r="C5" s="17"/>
      <c r="D5" s="47">
        <v>0</v>
      </c>
      <c r="E5" s="18"/>
      <c r="F5" s="8">
        <f t="shared" ref="F5:F12" si="0">E5*C5*D5</f>
        <v>0</v>
      </c>
      <c r="G5" s="17"/>
      <c r="H5" s="18"/>
      <c r="I5" s="8">
        <f t="shared" ref="I5:I12" si="1">H5*((100-G5)/100)</f>
        <v>0</v>
      </c>
      <c r="J5" s="8">
        <f t="shared" ref="J5:J12" si="2">D5*H5*C5*((100-G5)/100)</f>
        <v>0</v>
      </c>
      <c r="K5" s="3">
        <f>IF(D5&gt;0,(ROUND((100-((E5/I5)*100)),2)),0)</f>
        <v>0</v>
      </c>
      <c r="L5" s="1"/>
      <c r="N5" s="52" t="s">
        <v>23</v>
      </c>
    </row>
    <row r="6" spans="1:15" x14ac:dyDescent="0.25">
      <c r="A6" s="7">
        <f t="shared" ref="A6:A12" si="3">IF(D6&gt;0,A5+1,A5)</f>
        <v>1</v>
      </c>
      <c r="B6" s="17"/>
      <c r="C6" s="17"/>
      <c r="D6" s="47"/>
      <c r="E6" s="18"/>
      <c r="F6" s="8">
        <f t="shared" si="0"/>
        <v>0</v>
      </c>
      <c r="G6" s="17"/>
      <c r="H6" s="18"/>
      <c r="I6" s="8">
        <f t="shared" si="1"/>
        <v>0</v>
      </c>
      <c r="J6" s="8">
        <f t="shared" si="2"/>
        <v>0</v>
      </c>
      <c r="K6" s="3">
        <f>IF(D6&gt;0,(ROUND((100-((E6/I6)*100)),2)),0)</f>
        <v>0</v>
      </c>
      <c r="L6" s="1"/>
      <c r="N6" s="52" t="s">
        <v>29</v>
      </c>
    </row>
    <row r="7" spans="1:15" x14ac:dyDescent="0.25">
      <c r="A7" s="7">
        <f t="shared" si="3"/>
        <v>1</v>
      </c>
      <c r="B7" s="17"/>
      <c r="C7" s="17"/>
      <c r="D7" s="47"/>
      <c r="E7" s="18"/>
      <c r="F7" s="8">
        <f t="shared" si="0"/>
        <v>0</v>
      </c>
      <c r="G7" s="17"/>
      <c r="H7" s="18"/>
      <c r="I7" s="8">
        <f t="shared" si="1"/>
        <v>0</v>
      </c>
      <c r="J7" s="8">
        <f t="shared" si="2"/>
        <v>0</v>
      </c>
      <c r="K7" s="3">
        <f>IF(D7&gt;0,(ROUND((100-((E7/I7)*100)),2)),0)</f>
        <v>0</v>
      </c>
      <c r="L7" s="1"/>
      <c r="N7" s="52" t="s">
        <v>28</v>
      </c>
    </row>
    <row r="8" spans="1:15" x14ac:dyDescent="0.25">
      <c r="A8" s="7">
        <f t="shared" si="3"/>
        <v>1</v>
      </c>
      <c r="B8" s="17"/>
      <c r="C8" s="17"/>
      <c r="D8" s="47"/>
      <c r="E8" s="18"/>
      <c r="F8" s="8">
        <f t="shared" si="0"/>
        <v>0</v>
      </c>
      <c r="G8" s="17"/>
      <c r="H8" s="18"/>
      <c r="I8" s="8">
        <f t="shared" si="1"/>
        <v>0</v>
      </c>
      <c r="J8" s="8">
        <f t="shared" si="2"/>
        <v>0</v>
      </c>
      <c r="K8" s="3">
        <f>IF(D8&gt;0,(ROUND((100-((E8/I8)*100)),2)),0)</f>
        <v>0</v>
      </c>
      <c r="L8" s="1"/>
      <c r="N8" s="52" t="s">
        <v>12</v>
      </c>
    </row>
    <row r="9" spans="1:15" x14ac:dyDescent="0.25">
      <c r="A9" s="7">
        <f t="shared" si="3"/>
        <v>1</v>
      </c>
      <c r="B9" s="17"/>
      <c r="C9" s="17"/>
      <c r="D9" s="47"/>
      <c r="E9" s="18"/>
      <c r="F9" s="8">
        <f t="shared" si="0"/>
        <v>0</v>
      </c>
      <c r="G9" s="17"/>
      <c r="H9" s="18"/>
      <c r="I9" s="8">
        <f t="shared" si="1"/>
        <v>0</v>
      </c>
      <c r="J9" s="8">
        <f t="shared" si="2"/>
        <v>0</v>
      </c>
      <c r="K9" s="3">
        <f>IF(D9&gt;0,(ROUND((100-((E9/I9)*100)),2)),0)</f>
        <v>0</v>
      </c>
      <c r="L9" s="1"/>
      <c r="N9" s="52" t="s">
        <v>4</v>
      </c>
    </row>
    <row r="10" spans="1:15" x14ac:dyDescent="0.25">
      <c r="A10" s="7">
        <f t="shared" si="3"/>
        <v>1</v>
      </c>
      <c r="B10" s="17"/>
      <c r="C10" s="17"/>
      <c r="D10" s="47"/>
      <c r="E10" s="18"/>
      <c r="F10" s="8">
        <f t="shared" si="0"/>
        <v>0</v>
      </c>
      <c r="G10" s="17"/>
      <c r="H10" s="18"/>
      <c r="I10" s="8">
        <f t="shared" si="1"/>
        <v>0</v>
      </c>
      <c r="J10" s="8">
        <f t="shared" si="2"/>
        <v>0</v>
      </c>
      <c r="K10" s="3">
        <f>IF(D10&gt;0,(ROUND((100-((E10/I10)*100)),2)),0)</f>
        <v>0</v>
      </c>
      <c r="L10" s="1"/>
      <c r="N10" s="52" t="s">
        <v>30</v>
      </c>
      <c r="O10" t="s">
        <v>31</v>
      </c>
    </row>
    <row r="11" spans="1:15" x14ac:dyDescent="0.25">
      <c r="A11" s="7">
        <f t="shared" si="3"/>
        <v>1</v>
      </c>
      <c r="B11" s="17"/>
      <c r="C11" s="17"/>
      <c r="D11" s="47">
        <v>0</v>
      </c>
      <c r="E11" s="18"/>
      <c r="F11" s="8">
        <f t="shared" si="0"/>
        <v>0</v>
      </c>
      <c r="G11" s="17"/>
      <c r="H11" s="18"/>
      <c r="I11" s="8">
        <f t="shared" si="1"/>
        <v>0</v>
      </c>
      <c r="J11" s="8">
        <f t="shared" si="2"/>
        <v>0</v>
      </c>
      <c r="K11" s="3">
        <f>IF(D11&gt;0,(ROUND((100-((E11/I11)*100)),2)),0)</f>
        <v>0</v>
      </c>
      <c r="L11" s="1"/>
    </row>
    <row r="12" spans="1:15" x14ac:dyDescent="0.25">
      <c r="A12" s="7">
        <f t="shared" si="3"/>
        <v>1</v>
      </c>
      <c r="B12" s="17"/>
      <c r="C12" s="17"/>
      <c r="D12" s="47">
        <v>0</v>
      </c>
      <c r="E12" s="18"/>
      <c r="F12" s="8">
        <f t="shared" si="0"/>
        <v>0</v>
      </c>
      <c r="G12" s="17"/>
      <c r="H12" s="18"/>
      <c r="I12" s="8">
        <f t="shared" si="1"/>
        <v>0</v>
      </c>
      <c r="J12" s="8">
        <f t="shared" si="2"/>
        <v>0</v>
      </c>
      <c r="K12" s="3">
        <f>IF(D12&gt;0,(ROUND((100-((E12/I12)*100)),2)),0)</f>
        <v>0</v>
      </c>
      <c r="L12" s="1"/>
    </row>
    <row r="13" spans="1:15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3"/>
      <c r="L13" s="1"/>
    </row>
    <row r="14" spans="1:15" x14ac:dyDescent="0.25">
      <c r="A14" s="1"/>
      <c r="B14" s="26" t="s">
        <v>6</v>
      </c>
      <c r="C14" s="27"/>
      <c r="D14" s="27"/>
      <c r="E14" s="27"/>
      <c r="F14" s="10">
        <f>SUM(F4:F13)</f>
        <v>0</v>
      </c>
      <c r="G14" s="27"/>
      <c r="H14" s="27"/>
      <c r="I14" s="27"/>
      <c r="J14" s="10">
        <f>SUM(J4:J13)</f>
        <v>0</v>
      </c>
      <c r="K14" s="29">
        <f>IF(J14&gt;0,(ROUND((100-((F14/J14)*100)),2)),0)</f>
        <v>0</v>
      </c>
      <c r="L14" s="1"/>
    </row>
    <row r="15" spans="1:15" x14ac:dyDescent="0.25">
      <c r="A15" s="1"/>
      <c r="B15" s="1"/>
      <c r="C15" s="1"/>
      <c r="D15" s="1"/>
      <c r="E15" s="1"/>
      <c r="F15" s="2"/>
      <c r="G15" s="1"/>
      <c r="H15" s="1"/>
      <c r="I15" s="1"/>
      <c r="J15" s="2"/>
      <c r="K15" s="3"/>
      <c r="L15" s="1"/>
    </row>
    <row r="16" spans="1:15" x14ac:dyDescent="0.25">
      <c r="A16" s="1"/>
      <c r="B16" s="26" t="s">
        <v>9</v>
      </c>
      <c r="C16" s="27"/>
      <c r="D16" s="27"/>
      <c r="E16" s="27"/>
      <c r="F16" s="31"/>
      <c r="G16" s="27"/>
      <c r="H16" s="27"/>
      <c r="I16" s="27"/>
      <c r="J16" s="12">
        <f>J14-F14</f>
        <v>0</v>
      </c>
      <c r="K16" s="29">
        <f>IF(J14&gt;0,(ROUND((100-((F14/J14)*100)),2)),0)</f>
        <v>0</v>
      </c>
      <c r="L16" s="1"/>
    </row>
    <row r="17" spans="1:12" x14ac:dyDescent="0.25">
      <c r="A17" s="1"/>
      <c r="B17" s="37"/>
      <c r="C17" s="37"/>
      <c r="D17" s="37"/>
      <c r="E17" s="37"/>
      <c r="F17" s="48"/>
      <c r="G17" s="37"/>
      <c r="H17" s="37"/>
      <c r="I17" s="37"/>
      <c r="J17" s="48"/>
      <c r="K17" s="49"/>
      <c r="L17" s="1"/>
    </row>
    <row r="18" spans="1:12" x14ac:dyDescent="0.25">
      <c r="A18" s="1"/>
      <c r="B18" s="1"/>
      <c r="C18" s="6" t="s">
        <v>3</v>
      </c>
      <c r="D18" s="46" t="s">
        <v>23</v>
      </c>
      <c r="E18" s="6" t="s">
        <v>2</v>
      </c>
      <c r="F18" s="1"/>
      <c r="G18" s="1"/>
      <c r="H18" s="1"/>
      <c r="I18" s="1"/>
      <c r="J18" s="6" t="s">
        <v>4</v>
      </c>
      <c r="K18" s="3"/>
      <c r="L18" s="1"/>
    </row>
    <row r="19" spans="1:12" x14ac:dyDescent="0.25">
      <c r="A19" s="1"/>
      <c r="B19" s="19" t="s">
        <v>21</v>
      </c>
      <c r="C19" s="19"/>
      <c r="D19" s="19"/>
      <c r="E19" s="20"/>
      <c r="F19" s="28"/>
      <c r="G19" s="27"/>
      <c r="H19" s="27"/>
      <c r="I19" s="27"/>
      <c r="J19" s="12">
        <f>E19*C19*D19</f>
        <v>0</v>
      </c>
      <c r="K19" s="3"/>
      <c r="L19" s="1"/>
    </row>
    <row r="20" spans="1:12" x14ac:dyDescent="0.25">
      <c r="A20" s="1"/>
      <c r="B20" s="44" t="s">
        <v>19</v>
      </c>
      <c r="C20" s="1"/>
      <c r="D20" s="1"/>
      <c r="E20" s="1"/>
      <c r="F20" s="1"/>
      <c r="G20" s="1"/>
      <c r="H20" s="1"/>
      <c r="I20" s="1"/>
      <c r="J20" s="1"/>
      <c r="K20" s="3"/>
      <c r="L20" s="1"/>
    </row>
    <row r="21" spans="1:12" x14ac:dyDescent="0.25">
      <c r="A21" s="1"/>
      <c r="B21" s="26" t="s">
        <v>7</v>
      </c>
      <c r="C21" s="27"/>
      <c r="D21" s="27"/>
      <c r="E21" s="27"/>
      <c r="F21" s="31">
        <f>F14-F19</f>
        <v>0</v>
      </c>
      <c r="G21" s="27"/>
      <c r="H21" s="27"/>
      <c r="I21" s="27"/>
      <c r="J21" s="12">
        <f>J14+J19</f>
        <v>0</v>
      </c>
      <c r="K21" s="32">
        <f>IF(J21&gt;0,(ROUND((100-((F21/J21)*100)),2)),0)</f>
        <v>0</v>
      </c>
      <c r="L21" s="1"/>
    </row>
    <row r="22" spans="1:12" x14ac:dyDescent="0.25">
      <c r="A22" s="1"/>
      <c r="B22" s="1"/>
      <c r="C22" s="1"/>
      <c r="D22" s="1"/>
      <c r="E22" s="1"/>
      <c r="F22" s="1"/>
      <c r="G22" s="51" t="s">
        <v>25</v>
      </c>
      <c r="H22" s="1"/>
      <c r="I22" s="1"/>
      <c r="J22" s="1"/>
      <c r="K22" s="3"/>
      <c r="L22" s="1"/>
    </row>
    <row r="23" spans="1:12" x14ac:dyDescent="0.25">
      <c r="A23" s="1"/>
      <c r="B23" s="26" t="s">
        <v>8</v>
      </c>
      <c r="C23" s="27"/>
      <c r="D23" s="27"/>
      <c r="E23" s="27"/>
      <c r="F23" s="30">
        <f>J21-F21</f>
        <v>0</v>
      </c>
      <c r="G23" s="1"/>
      <c r="H23" s="1"/>
      <c r="I23" s="1"/>
      <c r="J23" s="1"/>
      <c r="K23" s="3"/>
      <c r="L23" s="1"/>
    </row>
    <row r="24" spans="1:12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3"/>
      <c r="L24" s="1"/>
    </row>
    <row r="25" spans="1:12" x14ac:dyDescent="0.25">
      <c r="A25" s="1"/>
      <c r="B25" s="26" t="s">
        <v>10</v>
      </c>
      <c r="C25" s="19"/>
      <c r="D25" s="50"/>
      <c r="E25" s="20"/>
      <c r="F25" s="12">
        <f>C25*E25</f>
        <v>0</v>
      </c>
      <c r="G25" s="23"/>
      <c r="H25" s="1"/>
      <c r="I25" s="1"/>
      <c r="J25" s="1"/>
      <c r="K25" s="3"/>
      <c r="L25" s="1"/>
    </row>
    <row r="26" spans="1:12" x14ac:dyDescent="0.25">
      <c r="A26" s="1"/>
      <c r="B26" s="37"/>
      <c r="C26" s="37"/>
      <c r="D26" s="37"/>
      <c r="E26" s="37"/>
      <c r="F26" s="37"/>
      <c r="G26" s="1"/>
      <c r="H26" s="1"/>
      <c r="I26" s="1"/>
      <c r="J26" s="1"/>
      <c r="K26" s="3"/>
      <c r="L26" s="1"/>
    </row>
    <row r="27" spans="1:12" x14ac:dyDescent="0.25">
      <c r="A27" s="1"/>
      <c r="B27" s="24"/>
      <c r="C27" s="1"/>
      <c r="D27" s="1"/>
      <c r="E27" s="1"/>
      <c r="F27" s="1"/>
      <c r="G27" s="1"/>
      <c r="H27" s="1"/>
      <c r="I27" s="1"/>
      <c r="J27" s="1"/>
      <c r="K27" s="3"/>
      <c r="L27" s="1"/>
    </row>
    <row r="28" spans="1:12" x14ac:dyDescent="0.25">
      <c r="A28" s="1"/>
      <c r="B28" s="26" t="s">
        <v>11</v>
      </c>
      <c r="C28" s="27"/>
      <c r="D28" s="27"/>
      <c r="E28" s="27"/>
      <c r="F28" s="12">
        <f>F23+F25</f>
        <v>0</v>
      </c>
      <c r="G28" s="27"/>
      <c r="H28" s="27"/>
      <c r="I28" s="27"/>
      <c r="J28" s="27"/>
      <c r="K28" s="13">
        <f>IF((J14+F25)&gt;0,(ROUND((100-((F14/(J14+F25))*100)),2)),0)</f>
        <v>0</v>
      </c>
      <c r="L28" s="1"/>
    </row>
    <row r="29" spans="1:12" x14ac:dyDescent="0.25">
      <c r="A29" s="1"/>
      <c r="B29" s="1"/>
      <c r="C29" s="1"/>
      <c r="D29" s="1"/>
      <c r="E29" s="1"/>
      <c r="F29" s="4"/>
      <c r="G29" s="1"/>
      <c r="H29" s="1"/>
      <c r="I29" s="1"/>
      <c r="J29" s="1"/>
      <c r="K29" s="3"/>
      <c r="L29" s="1"/>
    </row>
    <row r="30" spans="1:12" x14ac:dyDescent="0.25">
      <c r="A30" s="1"/>
      <c r="B30" s="1"/>
      <c r="C30" s="1"/>
      <c r="D30" s="1"/>
      <c r="E30" s="1"/>
      <c r="F30" s="4"/>
      <c r="G30" s="1"/>
      <c r="H30" s="1"/>
      <c r="I30" s="1"/>
      <c r="J30" s="1"/>
      <c r="K30" s="3"/>
      <c r="L30" s="1"/>
    </row>
    <row r="31" spans="1:12" x14ac:dyDescent="0.25">
      <c r="A31" s="1"/>
      <c r="B31" s="33" t="s">
        <v>20</v>
      </c>
      <c r="C31" s="34"/>
      <c r="D31" s="34"/>
      <c r="E31" s="34"/>
      <c r="F31" s="34"/>
      <c r="G31" s="34"/>
      <c r="H31" s="34"/>
      <c r="I31" s="34"/>
      <c r="J31" s="34"/>
      <c r="K31" s="35"/>
      <c r="L31" s="1"/>
    </row>
    <row r="32" spans="1:12" x14ac:dyDescent="0.25">
      <c r="A32" s="1"/>
      <c r="B32" s="36"/>
      <c r="C32" s="37"/>
      <c r="D32" s="37"/>
      <c r="E32" s="38" t="s">
        <v>22</v>
      </c>
      <c r="F32" s="38" t="s">
        <v>5</v>
      </c>
      <c r="G32" s="38"/>
      <c r="H32" s="38"/>
      <c r="I32" s="38"/>
      <c r="J32" s="38" t="s">
        <v>4</v>
      </c>
      <c r="K32" s="45" t="s">
        <v>13</v>
      </c>
      <c r="L32" s="1"/>
    </row>
    <row r="33" spans="1:12" x14ac:dyDescent="0.25">
      <c r="A33" s="1"/>
      <c r="B33" s="36" t="s">
        <v>15</v>
      </c>
      <c r="C33" s="37"/>
      <c r="D33" s="37"/>
      <c r="E33" s="20"/>
      <c r="F33" s="10">
        <f>F21</f>
        <v>0</v>
      </c>
      <c r="G33" s="37"/>
      <c r="H33" s="42">
        <f>F23</f>
        <v>0</v>
      </c>
      <c r="I33" s="37"/>
      <c r="J33" s="10">
        <f>IF(E33=0,F33+H33,F33+E33)</f>
        <v>0</v>
      </c>
      <c r="K33" s="16">
        <f>IF(F33&gt;0,(ROUND((100-((F33/J33)*100)),2)),0)</f>
        <v>0</v>
      </c>
      <c r="L33" s="1"/>
    </row>
    <row r="34" spans="1:12" x14ac:dyDescent="0.25">
      <c r="A34" s="1"/>
      <c r="B34" s="36"/>
      <c r="C34" s="37"/>
      <c r="D34" s="37"/>
      <c r="E34" s="37"/>
      <c r="F34" s="37"/>
      <c r="G34" s="37"/>
      <c r="H34" s="37"/>
      <c r="I34" s="37"/>
      <c r="J34" s="37"/>
      <c r="K34" s="7"/>
      <c r="L34" s="1"/>
    </row>
    <row r="35" spans="1:12" x14ac:dyDescent="0.25">
      <c r="A35" s="1"/>
      <c r="B35" s="36" t="s">
        <v>14</v>
      </c>
      <c r="C35" s="37"/>
      <c r="D35" s="37"/>
      <c r="E35" s="10">
        <f>J35-F35</f>
        <v>0</v>
      </c>
      <c r="F35" s="10">
        <f>F21</f>
        <v>0</v>
      </c>
      <c r="G35" s="37"/>
      <c r="H35" s="43">
        <f>K21</f>
        <v>0</v>
      </c>
      <c r="I35" s="37"/>
      <c r="J35" s="10">
        <f>IF(K35=0,F35/(100-H35)*100,F35/(100-K35)*100)</f>
        <v>0</v>
      </c>
      <c r="K35" s="21"/>
      <c r="L35" s="1"/>
    </row>
    <row r="36" spans="1:12" x14ac:dyDescent="0.25">
      <c r="A36" s="1"/>
      <c r="B36" s="36"/>
      <c r="C36" s="37"/>
      <c r="D36" s="37"/>
      <c r="E36" s="14"/>
      <c r="F36" s="14"/>
      <c r="G36" s="37"/>
      <c r="H36" s="37"/>
      <c r="I36" s="37"/>
      <c r="J36" s="14"/>
      <c r="K36" s="39"/>
      <c r="L36" s="1"/>
    </row>
    <row r="37" spans="1:12" x14ac:dyDescent="0.25">
      <c r="A37" s="1"/>
      <c r="B37" s="40" t="s">
        <v>16</v>
      </c>
      <c r="C37" s="25"/>
      <c r="D37" s="25"/>
      <c r="E37" s="10">
        <f xml:space="preserve"> (IF(J37=0,H37,J37))-F37</f>
        <v>0</v>
      </c>
      <c r="F37" s="10">
        <f>F21</f>
        <v>0</v>
      </c>
      <c r="G37" s="25"/>
      <c r="H37" s="41">
        <f>J21</f>
        <v>0</v>
      </c>
      <c r="I37" s="25"/>
      <c r="J37" s="20"/>
      <c r="K37" s="15">
        <f>IF( ((IF(J37=0,H37,J37))&gt;0),(100-((F37/ (IF(J37=0,H37,J37)))*100)),0)</f>
        <v>0</v>
      </c>
      <c r="L37" s="1"/>
    </row>
    <row r="38" spans="1:12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</row>
  </sheetData>
  <conditionalFormatting sqref="J19 F14 J14:K14 J16:K17 J21:K21 F21 F23 F25 F28 K28 F33 J33:K33 E35:F35 J35 E37:F37 K37 I4:K12 F4:F12">
    <cfRule type="cellIs" dxfId="10" priority="18" operator="equal">
      <formula>0</formula>
    </cfRule>
  </conditionalFormatting>
  <conditionalFormatting sqref="D5">
    <cfRule type="cellIs" dxfId="9" priority="12" operator="equal">
      <formula>0</formula>
    </cfRule>
  </conditionalFormatting>
  <conditionalFormatting sqref="D6:D12">
    <cfRule type="cellIs" dxfId="8" priority="11" operator="equal">
      <formula>0</formula>
    </cfRule>
  </conditionalFormatting>
  <conditionalFormatting sqref="A5">
    <cfRule type="cellIs" dxfId="7" priority="8" operator="equal">
      <formula>$A$4</formula>
    </cfRule>
  </conditionalFormatting>
  <conditionalFormatting sqref="A6">
    <cfRule type="cellIs" dxfId="6" priority="7" operator="equal">
      <formula>$A$5</formula>
    </cfRule>
  </conditionalFormatting>
  <conditionalFormatting sqref="A7">
    <cfRule type="cellIs" dxfId="5" priority="6" operator="equal">
      <formula>$A$6</formula>
    </cfRule>
  </conditionalFormatting>
  <conditionalFormatting sqref="A8">
    <cfRule type="cellIs" dxfId="4" priority="5" operator="equal">
      <formula>$A$7</formula>
    </cfRule>
  </conditionalFormatting>
  <conditionalFormatting sqref="A9">
    <cfRule type="cellIs" dxfId="3" priority="4" operator="equal">
      <formula>$A$8</formula>
    </cfRule>
  </conditionalFormatting>
  <conditionalFormatting sqref="A10">
    <cfRule type="cellIs" dxfId="2" priority="3" operator="equal">
      <formula>$A$9</formula>
    </cfRule>
  </conditionalFormatting>
  <conditionalFormatting sqref="A11">
    <cfRule type="cellIs" dxfId="1" priority="2" operator="equal">
      <formula>$A$10</formula>
    </cfRule>
  </conditionalFormatting>
  <conditionalFormatting sqref="A12">
    <cfRule type="cellIs" dxfId="0" priority="1" operator="equal">
      <formula>$A$11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Tabelle1</vt:lpstr>
      <vt:lpstr>Tabelle2</vt:lpstr>
      <vt:lpstr>Tabelle3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Johannes Düwel</dc:creator>
  <cp:lastModifiedBy>Axel Ullrich</cp:lastModifiedBy>
  <dcterms:created xsi:type="dcterms:W3CDTF">2015-03-10T08:37:23Z</dcterms:created>
  <dcterms:modified xsi:type="dcterms:W3CDTF">2015-05-06T06:52:17Z</dcterms:modified>
</cp:coreProperties>
</file>